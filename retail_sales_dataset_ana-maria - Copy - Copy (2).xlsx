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ana-mariagheorghiu_bootcamp_justit_co_uk/Documents/"/>
    </mc:Choice>
  </mc:AlternateContent>
  <xr:revisionPtr revIDLastSave="0" documentId="8_{60D548A0-144C-48E1-9D02-CA6ABE27594D}" xr6:coauthVersionLast="47" xr6:coauthVersionMax="47" xr10:uidLastSave="{00000000-0000-0000-0000-000000000000}"/>
  <bookViews>
    <workbookView xWindow="-110" yWindow="-110" windowWidth="19420" windowHeight="11500" firstSheet="5" activeTab="5" xr2:uid="{00000000-000D-0000-FFFF-FFFF00000000}"/>
  </bookViews>
  <sheets>
    <sheet name="Detail1" sheetId="5" r:id="rId1"/>
    <sheet name="Task 2" sheetId="3" r:id="rId2"/>
    <sheet name="Sheet1" sheetId="4" r:id="rId3"/>
    <sheet name="retail_sales_dataset" sheetId="1" r:id="rId4"/>
    <sheet name="Transactions" sheetId="2" r:id="rId5"/>
    <sheet name="Sheet2" sheetId="6" r:id="rId6"/>
  </sheets>
  <definedNames>
    <definedName name="_xlnm._FilterDatabase" localSheetId="1" hidden="1">'Task 2'!$A$1:$D$20</definedName>
    <definedName name="_xlcn.WorksheetConnection_retail_sales_dataset.xlsxTable1" hidden="1">retail_sales_dataset!$A$1:$M$1001</definedName>
    <definedName name="Slicer_Generation">#N/A</definedName>
    <definedName name="Slicer_Product_Category">#N/A</definedName>
  </definedNames>
  <calcPr calcId="191028"/>
  <pivotCaches>
    <pivotCache cacheId="359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S9" i="1"/>
  <c r="B650" i="1"/>
  <c r="C650" i="1"/>
  <c r="D650" i="1"/>
  <c r="E650" i="1"/>
  <c r="N650" i="1"/>
  <c r="O650" i="1"/>
  <c r="D811" i="1"/>
  <c r="A12" i="2"/>
  <c r="A11" i="2"/>
  <c r="C3" i="2"/>
  <c r="C4" i="2"/>
  <c r="C5" i="2"/>
  <c r="C6" i="2"/>
  <c r="C7" i="2"/>
  <c r="C8" i="2"/>
  <c r="C9" i="2"/>
  <c r="C10" i="2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C2" i="2"/>
  <c r="C11" i="2" s="1"/>
  <c r="B2" i="2"/>
  <c r="B811" i="1"/>
  <c r="B315" i="1"/>
  <c r="B597" i="1"/>
  <c r="B729" i="1"/>
  <c r="B426" i="1"/>
  <c r="B401" i="1"/>
  <c r="B730" i="1"/>
  <c r="B33" i="1"/>
  <c r="B263" i="1"/>
  <c r="B868" i="1"/>
  <c r="B628" i="1"/>
  <c r="B892" i="1"/>
  <c r="B2" i="1"/>
  <c r="B489" i="1"/>
  <c r="B960" i="1"/>
  <c r="B788" i="1"/>
  <c r="B375" i="1"/>
  <c r="B50" i="1"/>
  <c r="B893" i="1"/>
  <c r="B316" i="1"/>
  <c r="B981" i="1"/>
  <c r="B629" i="1"/>
  <c r="B338" i="1"/>
  <c r="B3" i="1"/>
  <c r="B767" i="1"/>
  <c r="B578" i="1"/>
  <c r="B458" i="1"/>
  <c r="B490" i="1"/>
  <c r="B560" i="1"/>
  <c r="B443" i="1"/>
  <c r="B731" i="1"/>
  <c r="B317" i="1"/>
  <c r="B285" i="1"/>
  <c r="B134" i="1"/>
  <c r="B264" i="1"/>
  <c r="B982" i="1"/>
  <c r="B579" i="1"/>
  <c r="B869" i="1"/>
  <c r="B427" i="1"/>
  <c r="B651" i="1"/>
  <c r="B894" i="1"/>
  <c r="B357" i="1"/>
  <c r="B895" i="1"/>
  <c r="B197" i="1"/>
  <c r="B939" i="1"/>
  <c r="B536" i="1"/>
  <c r="B218" i="1"/>
  <c r="B219" i="1"/>
  <c r="B789" i="1"/>
  <c r="B790" i="1"/>
  <c r="B613" i="1"/>
  <c r="B652" i="1"/>
  <c r="B580" i="1"/>
  <c r="B707" i="1"/>
  <c r="B812" i="1"/>
  <c r="B34" i="1"/>
  <c r="B983" i="1"/>
  <c r="B51" i="1"/>
  <c r="B732" i="1"/>
  <c r="B919" i="1"/>
  <c r="B984" i="1"/>
  <c r="B148" i="1"/>
  <c r="B339" i="1"/>
  <c r="B286" i="1"/>
  <c r="B428" i="1"/>
  <c r="B358" i="1"/>
  <c r="B833" i="1"/>
  <c r="B178" i="1"/>
  <c r="B459" i="1"/>
  <c r="B287" i="1"/>
  <c r="B940" i="1"/>
  <c r="B751" i="1"/>
  <c r="B985" i="1"/>
  <c r="B77" i="1"/>
  <c r="B896" i="1"/>
  <c r="B376" i="1"/>
  <c r="B377" i="1"/>
  <c r="B653" i="1"/>
  <c r="B4" i="1"/>
  <c r="B537" i="1"/>
  <c r="B688" i="1"/>
  <c r="B220" i="1"/>
  <c r="B581" i="1"/>
  <c r="B708" i="1"/>
  <c r="B961" i="1"/>
  <c r="B768" i="1"/>
  <c r="B179" i="1"/>
  <c r="B198" i="1"/>
  <c r="B288" i="1"/>
  <c r="B199" i="1"/>
  <c r="B289" i="1"/>
  <c r="B630" i="1"/>
  <c r="B378" i="1"/>
  <c r="B689" i="1"/>
  <c r="B444" i="1"/>
  <c r="B290" i="1"/>
  <c r="B200" i="1"/>
  <c r="B318" i="1"/>
  <c r="B515" i="1"/>
  <c r="B690" i="1"/>
  <c r="B379" i="1"/>
  <c r="B117" i="1"/>
  <c r="B654" i="1"/>
  <c r="B897" i="1"/>
  <c r="B402" i="1"/>
  <c r="B920" i="1"/>
  <c r="B791" i="1"/>
  <c r="B655" i="1"/>
  <c r="B792" i="1"/>
  <c r="B656" i="1"/>
  <c r="B598" i="1"/>
  <c r="B516" i="1"/>
  <c r="B898" i="1"/>
  <c r="B291" i="1"/>
  <c r="B870" i="1"/>
  <c r="B962" i="1"/>
  <c r="B733" i="1"/>
  <c r="B95" i="1"/>
  <c r="B96" i="1"/>
  <c r="B769" i="1"/>
  <c r="B5" i="1"/>
  <c r="B538" i="1"/>
  <c r="B678" i="1"/>
  <c r="B359" i="1"/>
  <c r="B770" i="1"/>
  <c r="B679" i="1"/>
  <c r="B834" i="1"/>
  <c r="B921" i="1"/>
  <c r="B149" i="1"/>
  <c r="B922" i="1"/>
  <c r="B491" i="1"/>
  <c r="B941" i="1"/>
  <c r="B340" i="1"/>
  <c r="B942" i="1"/>
  <c r="B445" i="1"/>
  <c r="B403" i="1"/>
  <c r="B341" i="1"/>
  <c r="B614" i="1"/>
  <c r="B582" i="1"/>
  <c r="B899" i="1"/>
  <c r="B631" i="1"/>
  <c r="B429" i="1"/>
  <c r="B118" i="1"/>
  <c r="B561" i="1"/>
  <c r="B583" i="1"/>
  <c r="B871" i="1"/>
  <c r="B986" i="1"/>
  <c r="B900" i="1"/>
  <c r="B135" i="1"/>
  <c r="B752" i="1"/>
  <c r="B460" i="1"/>
  <c r="B35" i="1"/>
  <c r="B292" i="1"/>
  <c r="B709" i="1"/>
  <c r="B461" i="1"/>
  <c r="B52" i="1"/>
  <c r="B446" i="1"/>
  <c r="B813" i="1"/>
  <c r="B462" i="1"/>
  <c r="B6" i="1"/>
  <c r="B562" i="1"/>
  <c r="B7" i="1"/>
  <c r="B380" i="1"/>
  <c r="B97" i="1"/>
  <c r="B657" i="1"/>
  <c r="B463" i="1"/>
  <c r="B246" i="1"/>
  <c r="B987" i="1"/>
  <c r="B835" i="1"/>
  <c r="B265" i="1"/>
  <c r="B691" i="1"/>
  <c r="B8" i="1"/>
  <c r="B563" i="1"/>
  <c r="B710" i="1"/>
  <c r="B464" i="1"/>
  <c r="B430" i="1"/>
  <c r="B539" i="1"/>
  <c r="B711" i="1"/>
  <c r="B517" i="1"/>
  <c r="B963" i="1"/>
  <c r="B53" i="1"/>
  <c r="B465" i="1"/>
  <c r="B712" i="1"/>
  <c r="B853" i="1"/>
  <c r="B943" i="1"/>
  <c r="B9" i="1"/>
  <c r="B540" i="1"/>
  <c r="B36" i="1"/>
  <c r="B98" i="1"/>
  <c r="B10" i="1"/>
  <c r="B54" i="1"/>
  <c r="B632" i="1"/>
  <c r="B201" i="1"/>
  <c r="B266" i="1"/>
  <c r="B692" i="1"/>
  <c r="B492" i="1"/>
  <c r="B221" i="1"/>
  <c r="B431" i="1"/>
  <c r="B793" i="1"/>
  <c r="B180" i="1"/>
  <c r="B658" i="1"/>
  <c r="B181" i="1"/>
  <c r="B564" i="1"/>
  <c r="B466" i="1"/>
  <c r="B78" i="1"/>
  <c r="B493" i="1"/>
  <c r="B659" i="1"/>
  <c r="B734" i="1"/>
  <c r="B599" i="1"/>
  <c r="B494" i="1"/>
  <c r="B923" i="1"/>
  <c r="B794" i="1"/>
  <c r="B944" i="1"/>
  <c r="B136" i="1"/>
  <c r="B55" i="1"/>
  <c r="B633" i="1"/>
  <c r="B11" i="1"/>
  <c r="B247" i="1"/>
  <c r="B12" i="1"/>
  <c r="B565" i="1"/>
  <c r="B293" i="1"/>
  <c r="B13" i="1"/>
  <c r="B836" i="1"/>
  <c r="B150" i="1"/>
  <c r="B79" i="1"/>
  <c r="B615" i="1"/>
  <c r="B119" i="1"/>
  <c r="B137" i="1"/>
  <c r="B222" i="1"/>
  <c r="B872" i="1"/>
  <c r="B467" i="1"/>
  <c r="B294" i="1"/>
  <c r="B56" i="1"/>
  <c r="B873" i="1"/>
  <c r="B223" i="1"/>
  <c r="B319" i="1"/>
  <c r="B566" i="1"/>
  <c r="B584" i="1"/>
  <c r="B874" i="1"/>
  <c r="B875" i="1"/>
  <c r="B924" i="1"/>
  <c r="B381" i="1"/>
  <c r="B771" i="1"/>
  <c r="B382" i="1"/>
  <c r="B360" i="1"/>
  <c r="B518" i="1"/>
  <c r="B814" i="1"/>
  <c r="B945" i="1"/>
  <c r="B361" i="1"/>
  <c r="B151" i="1"/>
  <c r="B224" i="1"/>
  <c r="B248" i="1"/>
  <c r="B519" i="1"/>
  <c r="B362" i="1"/>
  <c r="B876" i="1"/>
  <c r="B964" i="1"/>
  <c r="B600" i="1"/>
  <c r="B432" i="1"/>
  <c r="B772" i="1"/>
  <c r="B925" i="1"/>
  <c r="B693" i="1"/>
  <c r="B877" i="1"/>
  <c r="B383" i="1"/>
  <c r="B202" i="1"/>
  <c r="B965" i="1"/>
  <c r="B694" i="1"/>
  <c r="B773" i="1"/>
  <c r="B837" i="1"/>
  <c r="B468" i="1"/>
  <c r="B57" i="1"/>
  <c r="B80" i="1"/>
  <c r="B901" i="1"/>
  <c r="B878" i="1"/>
  <c r="B469" i="1"/>
  <c r="B926" i="1"/>
  <c r="B616" i="1"/>
  <c r="B601" i="1"/>
  <c r="B320" i="1"/>
  <c r="B602" i="1"/>
  <c r="B753" i="1"/>
  <c r="B14" i="1"/>
  <c r="B988" i="1"/>
  <c r="B470" i="1"/>
  <c r="B713" i="1"/>
  <c r="B203" i="1"/>
  <c r="B225" i="1"/>
  <c r="B774" i="1"/>
  <c r="B249" i="1"/>
  <c r="B735" i="1"/>
  <c r="B99" i="1"/>
  <c r="B946" i="1"/>
  <c r="B321" i="1"/>
  <c r="B879" i="1"/>
  <c r="B795" i="1"/>
  <c r="B902" i="1"/>
  <c r="B541" i="1"/>
  <c r="B796" i="1"/>
  <c r="B81" i="1"/>
  <c r="B966" i="1"/>
  <c r="B736" i="1"/>
  <c r="B152" i="1"/>
  <c r="B967" i="1"/>
  <c r="B603" i="1"/>
  <c r="B989" i="1"/>
  <c r="B226" i="1"/>
  <c r="B815" i="1"/>
  <c r="B660" i="1"/>
  <c r="B816" i="1"/>
  <c r="B775" i="1"/>
  <c r="B695" i="1"/>
  <c r="B520" i="1"/>
  <c r="B204" i="1"/>
  <c r="B267" i="1"/>
  <c r="B384" i="1"/>
  <c r="B363" i="1"/>
  <c r="B903" i="1"/>
  <c r="B82" i="1"/>
  <c r="B714" i="1"/>
  <c r="B776" i="1"/>
  <c r="B817" i="1"/>
  <c r="B295" i="1"/>
  <c r="B754" i="1"/>
  <c r="B268" i="1"/>
  <c r="B269" i="1"/>
  <c r="B990" i="1"/>
  <c r="B153" i="1"/>
  <c r="B567" i="1"/>
  <c r="B404" i="1"/>
  <c r="B838" i="1"/>
  <c r="B777" i="1"/>
  <c r="B138" i="1"/>
  <c r="B227" i="1"/>
  <c r="B715" i="1"/>
  <c r="B385" i="1"/>
  <c r="B270" i="1"/>
  <c r="B585" i="1"/>
  <c r="B228" i="1"/>
  <c r="B904" i="1"/>
  <c r="B617" i="1"/>
  <c r="B716" i="1"/>
  <c r="B471" i="1"/>
  <c r="B927" i="1"/>
  <c r="B495" i="1"/>
  <c r="B58" i="1"/>
  <c r="B120" i="1"/>
  <c r="B496" i="1"/>
  <c r="B634" i="1"/>
  <c r="B154" i="1"/>
  <c r="B839" i="1"/>
  <c r="B182" i="1"/>
  <c r="B155" i="1"/>
  <c r="B717" i="1"/>
  <c r="B342" i="1"/>
  <c r="B205" i="1"/>
  <c r="B322" i="1"/>
  <c r="B542" i="1"/>
  <c r="B696" i="1"/>
  <c r="B323" i="1"/>
  <c r="B497" i="1"/>
  <c r="B661" i="1"/>
  <c r="B324" i="1"/>
  <c r="B15" i="1"/>
  <c r="B968" i="1"/>
  <c r="B718" i="1"/>
  <c r="B156" i="1"/>
  <c r="B157" i="1"/>
  <c r="B183" i="1"/>
  <c r="B880" i="1"/>
  <c r="B881" i="1"/>
  <c r="B947" i="1"/>
  <c r="B854" i="1"/>
  <c r="B840" i="1"/>
  <c r="B121" i="1"/>
  <c r="B697" i="1"/>
  <c r="B16" i="1"/>
  <c r="B405" i="1"/>
  <c r="B325" i="1"/>
  <c r="B386" i="1"/>
  <c r="B184" i="1"/>
  <c r="B447" i="1"/>
  <c r="B250" i="1"/>
  <c r="B406" i="1"/>
  <c r="B206" i="1"/>
  <c r="B326" i="1"/>
  <c r="B229" i="1"/>
  <c r="B448" i="1"/>
  <c r="B327" i="1"/>
  <c r="B928" i="1"/>
  <c r="B568" i="1"/>
  <c r="B969" i="1"/>
  <c r="B797" i="1"/>
  <c r="B905" i="1"/>
  <c r="B798" i="1"/>
  <c r="B328" i="1"/>
  <c r="B207" i="1"/>
  <c r="B737" i="1"/>
  <c r="B364" i="1"/>
  <c r="B17" i="1"/>
  <c r="B251" i="1"/>
  <c r="B59" i="1"/>
  <c r="B521" i="1"/>
  <c r="B698" i="1"/>
  <c r="B407" i="1"/>
  <c r="B841" i="1"/>
  <c r="B906" i="1"/>
  <c r="B408" i="1"/>
  <c r="B18" i="1"/>
  <c r="B929" i="1"/>
  <c r="B755" i="1"/>
  <c r="B60" i="1"/>
  <c r="B970" i="1"/>
  <c r="B449" i="1"/>
  <c r="B365" i="1"/>
  <c r="B252" i="1"/>
  <c r="B253" i="1"/>
  <c r="B472" i="1"/>
  <c r="B100" i="1"/>
  <c r="B450" i="1"/>
  <c r="B907" i="1"/>
  <c r="B604" i="1"/>
  <c r="B778" i="1"/>
  <c r="B799" i="1"/>
  <c r="B158" i="1"/>
  <c r="B208" i="1"/>
  <c r="B882" i="1"/>
  <c r="B842" i="1"/>
  <c r="B543" i="1"/>
  <c r="B19" i="1"/>
  <c r="B473" i="1"/>
  <c r="B37" i="1"/>
  <c r="B101" i="1"/>
  <c r="B756" i="1"/>
  <c r="B474" i="1"/>
  <c r="B738" i="1"/>
  <c r="B159" i="1"/>
  <c r="B635" i="1"/>
  <c r="B498" i="1"/>
  <c r="B329" i="1"/>
  <c r="B20" i="1"/>
  <c r="B160" i="1"/>
  <c r="B102" i="1"/>
  <c r="B757" i="1"/>
  <c r="B83" i="1"/>
  <c r="B254" i="1"/>
  <c r="B930" i="1"/>
  <c r="B908" i="1"/>
  <c r="B230" i="1"/>
  <c r="B843" i="1"/>
  <c r="B122" i="1"/>
  <c r="B433" i="1"/>
  <c r="B366" i="1"/>
  <c r="B818" i="1"/>
  <c r="B409" i="1"/>
  <c r="B719" i="1"/>
  <c r="B161" i="1"/>
  <c r="B139" i="1"/>
  <c r="B569" i="1"/>
  <c r="B779" i="1"/>
  <c r="B544" i="1"/>
  <c r="B991" i="1"/>
  <c r="B38" i="1"/>
  <c r="B231" i="1"/>
  <c r="B586" i="1"/>
  <c r="B475" i="1"/>
  <c r="B39" i="1"/>
  <c r="B255" i="1"/>
  <c r="B545" i="1"/>
  <c r="B992" i="1"/>
  <c r="B162" i="1"/>
  <c r="B699" i="1"/>
  <c r="B587" i="1"/>
  <c r="B21" i="1"/>
  <c r="B819" i="1"/>
  <c r="B820" i="1"/>
  <c r="B800" i="1"/>
  <c r="B476" i="1"/>
  <c r="B140" i="1"/>
  <c r="B271" i="1"/>
  <c r="B499" i="1"/>
  <c r="B477" i="1"/>
  <c r="B780" i="1"/>
  <c r="B209" i="1"/>
  <c r="B971" i="1"/>
  <c r="B855" i="1"/>
  <c r="B636" i="1"/>
  <c r="B451" i="1"/>
  <c r="B296" i="1"/>
  <c r="B452" i="1"/>
  <c r="B662" i="1"/>
  <c r="B103" i="1"/>
  <c r="B84" i="1"/>
  <c r="B522" i="1"/>
  <c r="B500" i="1"/>
  <c r="B856" i="1"/>
  <c r="B883" i="1"/>
  <c r="B523" i="1"/>
  <c r="B330" i="1"/>
  <c r="B410" i="1"/>
  <c r="B104" i="1"/>
  <c r="B570" i="1"/>
  <c r="B478" i="1"/>
  <c r="B434" i="1"/>
  <c r="B588" i="1"/>
  <c r="B857" i="1"/>
  <c r="B663" i="1"/>
  <c r="B605" i="1"/>
  <c r="B141" i="1"/>
  <c r="B606" i="1"/>
  <c r="B571" i="1"/>
  <c r="B435" i="1"/>
  <c r="B163" i="1"/>
  <c r="B858" i="1"/>
  <c r="B993" i="1"/>
  <c r="B343" i="1"/>
  <c r="B739" i="1"/>
  <c r="B387" i="1"/>
  <c r="B546" i="1"/>
  <c r="B618" i="1"/>
  <c r="B344" i="1"/>
  <c r="B388" i="1"/>
  <c r="B411" i="1"/>
  <c r="B61" i="1"/>
  <c r="B412" i="1"/>
  <c r="B389" i="1"/>
  <c r="B680" i="1"/>
  <c r="B164" i="1"/>
  <c r="B619" i="1"/>
  <c r="B637" i="1"/>
  <c r="B994" i="1"/>
  <c r="B720" i="1"/>
  <c r="B22" i="1"/>
  <c r="B972" i="1"/>
  <c r="B436" i="1"/>
  <c r="B390" i="1"/>
  <c r="B210" i="1"/>
  <c r="B931" i="1"/>
  <c r="B995" i="1"/>
  <c r="B844" i="1"/>
  <c r="B413" i="1"/>
  <c r="B185" i="1"/>
  <c r="B948" i="1"/>
  <c r="B345" i="1"/>
  <c r="B801" i="1"/>
  <c r="B802" i="1"/>
  <c r="B620" i="1"/>
  <c r="B40" i="1"/>
  <c r="B297" i="1"/>
  <c r="B331" i="1"/>
  <c r="B547" i="1"/>
  <c r="B437" i="1"/>
  <c r="B346" i="1"/>
  <c r="B859" i="1"/>
  <c r="B414" i="1"/>
  <c r="B845" i="1"/>
  <c r="B996" i="1"/>
  <c r="B949" i="1"/>
  <c r="B524" i="1"/>
  <c r="B548" i="1"/>
  <c r="B846" i="1"/>
  <c r="B23" i="1"/>
  <c r="B232" i="1"/>
  <c r="B950" i="1"/>
  <c r="B332" i="1"/>
  <c r="B438" i="1"/>
  <c r="B24" i="1"/>
  <c r="B847" i="1"/>
  <c r="B298" i="1"/>
  <c r="B272" i="1"/>
  <c r="B347" i="1"/>
  <c r="B525" i="1"/>
  <c r="B721" i="1"/>
  <c r="B348" i="1"/>
  <c r="B41" i="1"/>
  <c r="B105" i="1"/>
  <c r="B681" i="1"/>
  <c r="B932" i="1"/>
  <c r="B233" i="1"/>
  <c r="B589" i="1"/>
  <c r="B722" i="1"/>
  <c r="B367" i="1"/>
  <c r="B638" i="1"/>
  <c r="B860" i="1"/>
  <c r="B803" i="1"/>
  <c r="B861" i="1"/>
  <c r="B333" i="1"/>
  <c r="B549" i="1"/>
  <c r="B590" i="1"/>
  <c r="B621" i="1"/>
  <c r="B622" i="1"/>
  <c r="B256" i="1"/>
  <c r="B415" i="1"/>
  <c r="B639" i="1"/>
  <c r="B973" i="1"/>
  <c r="B997" i="1"/>
  <c r="B25" i="1"/>
  <c r="B909" i="1"/>
  <c r="B607" i="1"/>
  <c r="B781" i="1"/>
  <c r="B123" i="1"/>
  <c r="B974" i="1"/>
  <c r="B951" i="1"/>
  <c r="B550" i="1"/>
  <c r="B758" i="1"/>
  <c r="B608" i="1"/>
  <c r="B910" i="1"/>
  <c r="B234" i="1"/>
  <c r="B211" i="1"/>
  <c r="B391" i="1"/>
  <c r="B821" i="1"/>
  <c r="B299" i="1"/>
  <c r="B85" i="1"/>
  <c r="B273" i="1"/>
  <c r="B572" i="1"/>
  <c r="B86" i="1"/>
  <c r="B526" i="1"/>
  <c r="B664" i="1"/>
  <c r="B804" i="1"/>
  <c r="B392" i="1"/>
  <c r="B42" i="1"/>
  <c r="B551" i="1"/>
  <c r="B349" i="1"/>
  <c r="B665" i="1"/>
  <c r="B666" i="1"/>
  <c r="B723" i="1"/>
  <c r="B822" i="1"/>
  <c r="B165" i="1"/>
  <c r="B975" i="1"/>
  <c r="B62" i="1"/>
  <c r="B501" i="1"/>
  <c r="B186" i="1"/>
  <c r="B823" i="1"/>
  <c r="B573" i="1"/>
  <c r="B106" i="1"/>
  <c r="B43" i="1"/>
  <c r="B933" i="1"/>
  <c r="B479" i="1"/>
  <c r="B416" i="1"/>
  <c r="B63" i="1"/>
  <c r="B300" i="1"/>
  <c r="B552" i="1"/>
  <c r="B235" i="1"/>
  <c r="B782" i="1"/>
  <c r="B884" i="1"/>
  <c r="B640" i="1"/>
  <c r="B591" i="1"/>
  <c r="B124" i="1"/>
  <c r="B257" i="1"/>
  <c r="B142" i="1"/>
  <c r="B212" i="1"/>
  <c r="B301" i="1"/>
  <c r="B667" i="1"/>
  <c r="B236" i="1"/>
  <c r="B502" i="1"/>
  <c r="B213" i="1"/>
  <c r="B759" i="1"/>
  <c r="B553" i="1"/>
  <c r="B125" i="1"/>
  <c r="B574" i="1"/>
  <c r="B592" i="1"/>
  <c r="B453" i="1"/>
  <c r="B368" i="1"/>
  <c r="B885" i="1"/>
  <c r="B454" i="1"/>
  <c r="B166" i="1"/>
  <c r="B302" i="1"/>
  <c r="B760" i="1"/>
  <c r="B64" i="1"/>
  <c r="B862" i="1"/>
  <c r="B805" i="1"/>
  <c r="B65" i="1"/>
  <c r="B668" i="1"/>
  <c r="B480" i="1"/>
  <c r="B593" i="1"/>
  <c r="B439" i="1"/>
  <c r="B44" i="1"/>
  <c r="B976" i="1"/>
  <c r="B107" i="1"/>
  <c r="B998" i="1"/>
  <c r="B258" i="1"/>
  <c r="B481" i="1"/>
  <c r="B417" i="1"/>
  <c r="B594" i="1"/>
  <c r="B783" i="1"/>
  <c r="B167" i="1"/>
  <c r="B784" i="1"/>
  <c r="B259" i="1"/>
  <c r="B187" i="1"/>
  <c r="B168" i="1"/>
  <c r="B274" i="1"/>
  <c r="B303" i="1"/>
  <c r="B26" i="1"/>
  <c r="B527" i="1"/>
  <c r="B575" i="1"/>
  <c r="B911" i="1"/>
  <c r="B334" i="1"/>
  <c r="B260" i="1"/>
  <c r="B27" i="1"/>
  <c r="B609" i="1"/>
  <c r="B623" i="1"/>
  <c r="B275" i="1"/>
  <c r="B108" i="1"/>
  <c r="B669" i="1"/>
  <c r="B66" i="1"/>
  <c r="B109" i="1"/>
  <c r="B304" i="1"/>
  <c r="B824" i="1"/>
  <c r="B482" i="1"/>
  <c r="B977" i="1"/>
  <c r="B825" i="1"/>
  <c r="B826" i="1"/>
  <c r="B169" i="1"/>
  <c r="B670" i="1"/>
  <c r="B999" i="1"/>
  <c r="B503" i="1"/>
  <c r="B110" i="1"/>
  <c r="B170" i="1"/>
  <c r="B126" i="1"/>
  <c r="B504" i="1"/>
  <c r="B188" i="1"/>
  <c r="B276" i="1"/>
  <c r="B952" i="1"/>
  <c r="B237" i="1"/>
  <c r="B87" i="1"/>
  <c r="B88" i="1"/>
  <c r="B393" i="1"/>
  <c r="B214" i="1"/>
  <c r="B305" i="1"/>
  <c r="B761" i="1"/>
  <c r="B624" i="1"/>
  <c r="B238" i="1"/>
  <c r="B89" i="1"/>
  <c r="B671" i="1"/>
  <c r="B806" i="1"/>
  <c r="B28" i="1"/>
  <c r="B762" i="1"/>
  <c r="B682" i="1"/>
  <c r="B528" i="1"/>
  <c r="B625" i="1"/>
  <c r="B848" i="1"/>
  <c r="B369" i="1"/>
  <c r="B595" i="1"/>
  <c r="B672" i="1"/>
  <c r="B554" i="1"/>
  <c r="B239" i="1"/>
  <c r="B683" i="1"/>
  <c r="B886" i="1"/>
  <c r="B849" i="1"/>
  <c r="B505" i="1"/>
  <c r="B641" i="1"/>
  <c r="B506" i="1"/>
  <c r="B763" i="1"/>
  <c r="B700" i="1"/>
  <c r="B483" i="1"/>
  <c r="B143" i="1"/>
  <c r="B67" i="1"/>
  <c r="B484" i="1"/>
  <c r="B29" i="1"/>
  <c r="B350" i="1"/>
  <c r="B807" i="1"/>
  <c r="B684" i="1"/>
  <c r="B863" i="1"/>
  <c r="B673" i="1"/>
  <c r="B555" i="1"/>
  <c r="B485" i="1"/>
  <c r="B596" i="1"/>
  <c r="B576" i="1"/>
  <c r="B864" i="1"/>
  <c r="B724" i="1"/>
  <c r="B701" i="1"/>
  <c r="B865" i="1"/>
  <c r="B827" i="1"/>
  <c r="B850" i="1"/>
  <c r="B556" i="1"/>
  <c r="B418" i="1"/>
  <c r="B642" i="1"/>
  <c r="B370" i="1"/>
  <c r="B394" i="1"/>
  <c r="B189" i="1"/>
  <c r="B277" i="1"/>
  <c r="B643" i="1"/>
  <c r="B127" i="1"/>
  <c r="B190" i="1"/>
  <c r="B674" i="1"/>
  <c r="B725" i="1"/>
  <c r="B371" i="1"/>
  <c r="B529" i="1"/>
  <c r="B278" i="1"/>
  <c r="B90" i="1"/>
  <c r="B68" i="1"/>
  <c r="B306" i="1"/>
  <c r="B953" i="1"/>
  <c r="B240" i="1"/>
  <c r="B111" i="1"/>
  <c r="B171" i="1"/>
  <c r="B486" i="1"/>
  <c r="B557" i="1"/>
  <c r="B91" i="1"/>
  <c r="B191" i="1"/>
  <c r="B702" i="1"/>
  <c r="B934" i="1"/>
  <c r="B419" i="1"/>
  <c r="B577" i="1"/>
  <c r="B507" i="1"/>
  <c r="B740" i="1"/>
  <c r="B644" i="1"/>
  <c r="B335" i="1"/>
  <c r="B685" i="1"/>
  <c r="B69" i="1"/>
  <c r="B128" i="1"/>
  <c r="B92" i="1"/>
  <c r="B978" i="1"/>
  <c r="B279" i="1"/>
  <c r="B129" i="1"/>
  <c r="B307" i="1"/>
  <c r="B395" i="1"/>
  <c r="B741" i="1"/>
  <c r="B742" i="1"/>
  <c r="B645" i="1"/>
  <c r="B351" i="1"/>
  <c r="B352" i="1"/>
  <c r="B280" i="1"/>
  <c r="B192" i="1"/>
  <c r="B45" i="1"/>
  <c r="B420" i="1"/>
  <c r="B421" i="1"/>
  <c r="B93" i="1"/>
  <c r="B686" i="1"/>
  <c r="B94" i="1"/>
  <c r="B30" i="1"/>
  <c r="B808" i="1"/>
  <c r="B396" i="1"/>
  <c r="B508" i="1"/>
  <c r="B193" i="1"/>
  <c r="B610" i="1"/>
  <c r="B912" i="1"/>
  <c r="B1000" i="1"/>
  <c r="B397" i="1"/>
  <c r="B954" i="1"/>
  <c r="B70" i="1"/>
  <c r="B726" i="1"/>
  <c r="B398" i="1"/>
  <c r="B935" i="1"/>
  <c r="B646" i="1"/>
  <c r="B241" i="1"/>
  <c r="B509" i="1"/>
  <c r="B1001" i="1"/>
  <c r="B46" i="1"/>
  <c r="B703" i="1"/>
  <c r="B828" i="1"/>
  <c r="B704" i="1"/>
  <c r="B530" i="1"/>
  <c r="B936" i="1"/>
  <c r="B764" i="1"/>
  <c r="B242" i="1"/>
  <c r="B243" i="1"/>
  <c r="B112" i="1"/>
  <c r="B887" i="1"/>
  <c r="B194" i="1"/>
  <c r="B47" i="1"/>
  <c r="B531" i="1"/>
  <c r="B785" i="1"/>
  <c r="B743" i="1"/>
  <c r="B308" i="1"/>
  <c r="B510" i="1"/>
  <c r="B866" i="1"/>
  <c r="B937" i="1"/>
  <c r="B851" i="1"/>
  <c r="B611" i="1"/>
  <c r="B422" i="1"/>
  <c r="B71" i="1"/>
  <c r="B48" i="1"/>
  <c r="B809" i="1"/>
  <c r="B113" i="1"/>
  <c r="B309" i="1"/>
  <c r="B487" i="1"/>
  <c r="B144" i="1"/>
  <c r="B955" i="1"/>
  <c r="B888" i="1"/>
  <c r="B913" i="1"/>
  <c r="B914" i="1"/>
  <c r="B31" i="1"/>
  <c r="B558" i="1"/>
  <c r="B829" i="1"/>
  <c r="B281" i="1"/>
  <c r="B612" i="1"/>
  <c r="B130" i="1"/>
  <c r="B282" i="1"/>
  <c r="B647" i="1"/>
  <c r="B675" i="1"/>
  <c r="B532" i="1"/>
  <c r="B956" i="1"/>
  <c r="B353" i="1"/>
  <c r="B283" i="1"/>
  <c r="B215" i="1"/>
  <c r="B744" i="1"/>
  <c r="B32" i="1"/>
  <c r="B511" i="1"/>
  <c r="B830" i="1"/>
  <c r="B938" i="1"/>
  <c r="B727" i="1"/>
  <c r="B244" i="1"/>
  <c r="B310" i="1"/>
  <c r="B786" i="1"/>
  <c r="B145" i="1"/>
  <c r="B957" i="1"/>
  <c r="B440" i="1"/>
  <c r="B423" i="1"/>
  <c r="B831" i="1"/>
  <c r="B958" i="1"/>
  <c r="B512" i="1"/>
  <c r="B311" i="1"/>
  <c r="B765" i="1"/>
  <c r="B131" i="1"/>
  <c r="B832" i="1"/>
  <c r="B705" i="1"/>
  <c r="B172" i="1"/>
  <c r="B513" i="1"/>
  <c r="B915" i="1"/>
  <c r="B787" i="1"/>
  <c r="B312" i="1"/>
  <c r="B533" i="1"/>
  <c r="B706" i="1"/>
  <c r="B216" i="1"/>
  <c r="B852" i="1"/>
  <c r="B916" i="1"/>
  <c r="B488" i="1"/>
  <c r="B648" i="1"/>
  <c r="B889" i="1"/>
  <c r="B245" i="1"/>
  <c r="B745" i="1"/>
  <c r="B441" i="1"/>
  <c r="B917" i="1"/>
  <c r="B746" i="1"/>
  <c r="B676" i="1"/>
  <c r="B173" i="1"/>
  <c r="B72" i="1"/>
  <c r="B354" i="1"/>
  <c r="B424" i="1"/>
  <c r="B959" i="1"/>
  <c r="B174" i="1"/>
  <c r="B313" i="1"/>
  <c r="B175" i="1"/>
  <c r="B455" i="1"/>
  <c r="B747" i="1"/>
  <c r="B73" i="1"/>
  <c r="B336" i="1"/>
  <c r="B890" i="1"/>
  <c r="B534" i="1"/>
  <c r="B626" i="1"/>
  <c r="B687" i="1"/>
  <c r="B176" i="1"/>
  <c r="B442" i="1"/>
  <c r="B337" i="1"/>
  <c r="B146" i="1"/>
  <c r="B748" i="1"/>
  <c r="B114" i="1"/>
  <c r="B74" i="1"/>
  <c r="B514" i="1"/>
  <c r="B132" i="1"/>
  <c r="B261" i="1"/>
  <c r="B456" i="1"/>
  <c r="B217" i="1"/>
  <c r="B867" i="1"/>
  <c r="B918" i="1"/>
  <c r="B115" i="1"/>
  <c r="B75" i="1"/>
  <c r="B372" i="1"/>
  <c r="B559" i="1"/>
  <c r="B133" i="1"/>
  <c r="B810" i="1"/>
  <c r="B355" i="1"/>
  <c r="B116" i="1"/>
  <c r="B399" i="1"/>
  <c r="B195" i="1"/>
  <c r="B373" i="1"/>
  <c r="B649" i="1"/>
  <c r="B262" i="1"/>
  <c r="B979" i="1"/>
  <c r="B728" i="1"/>
  <c r="B749" i="1"/>
  <c r="B425" i="1"/>
  <c r="B766" i="1"/>
  <c r="B196" i="1"/>
  <c r="B980" i="1"/>
  <c r="B356" i="1"/>
  <c r="B750" i="1"/>
  <c r="B49" i="1"/>
  <c r="B457" i="1"/>
  <c r="B147" i="1"/>
  <c r="B677" i="1"/>
  <c r="B177" i="1"/>
  <c r="B374" i="1"/>
  <c r="B314" i="1"/>
  <c r="B535" i="1"/>
  <c r="B76" i="1"/>
  <c r="B284" i="1"/>
  <c r="B891" i="1"/>
  <c r="B627" i="1"/>
  <c r="B400" i="1"/>
  <c r="C811" i="1"/>
  <c r="C315" i="1"/>
  <c r="C597" i="1"/>
  <c r="C729" i="1"/>
  <c r="C426" i="1"/>
  <c r="C401" i="1"/>
  <c r="C730" i="1"/>
  <c r="C33" i="1"/>
  <c r="C263" i="1"/>
  <c r="C868" i="1"/>
  <c r="C628" i="1"/>
  <c r="C892" i="1"/>
  <c r="C2" i="1"/>
  <c r="C489" i="1"/>
  <c r="C960" i="1"/>
  <c r="C788" i="1"/>
  <c r="C375" i="1"/>
  <c r="C50" i="1"/>
  <c r="C893" i="1"/>
  <c r="C316" i="1"/>
  <c r="C981" i="1"/>
  <c r="C629" i="1"/>
  <c r="C338" i="1"/>
  <c r="C3" i="1"/>
  <c r="C767" i="1"/>
  <c r="C578" i="1"/>
  <c r="C458" i="1"/>
  <c r="C490" i="1"/>
  <c r="C560" i="1"/>
  <c r="C443" i="1"/>
  <c r="C731" i="1"/>
  <c r="C317" i="1"/>
  <c r="C285" i="1"/>
  <c r="C134" i="1"/>
  <c r="C264" i="1"/>
  <c r="C982" i="1"/>
  <c r="C579" i="1"/>
  <c r="C869" i="1"/>
  <c r="C427" i="1"/>
  <c r="C651" i="1"/>
  <c r="C894" i="1"/>
  <c r="C357" i="1"/>
  <c r="C895" i="1"/>
  <c r="C197" i="1"/>
  <c r="C939" i="1"/>
  <c r="C536" i="1"/>
  <c r="C218" i="1"/>
  <c r="C219" i="1"/>
  <c r="C789" i="1"/>
  <c r="C790" i="1"/>
  <c r="C613" i="1"/>
  <c r="C652" i="1"/>
  <c r="C580" i="1"/>
  <c r="C707" i="1"/>
  <c r="C812" i="1"/>
  <c r="C34" i="1"/>
  <c r="C983" i="1"/>
  <c r="C51" i="1"/>
  <c r="C732" i="1"/>
  <c r="C919" i="1"/>
  <c r="C984" i="1"/>
  <c r="C148" i="1"/>
  <c r="C339" i="1"/>
  <c r="C286" i="1"/>
  <c r="C428" i="1"/>
  <c r="C358" i="1"/>
  <c r="C833" i="1"/>
  <c r="C178" i="1"/>
  <c r="C459" i="1"/>
  <c r="C287" i="1"/>
  <c r="C940" i="1"/>
  <c r="C751" i="1"/>
  <c r="C985" i="1"/>
  <c r="C77" i="1"/>
  <c r="C896" i="1"/>
  <c r="C376" i="1"/>
  <c r="C377" i="1"/>
  <c r="C653" i="1"/>
  <c r="C4" i="1"/>
  <c r="C537" i="1"/>
  <c r="C688" i="1"/>
  <c r="C220" i="1"/>
  <c r="C581" i="1"/>
  <c r="C708" i="1"/>
  <c r="C961" i="1"/>
  <c r="C768" i="1"/>
  <c r="C179" i="1"/>
  <c r="C198" i="1"/>
  <c r="C288" i="1"/>
  <c r="C199" i="1"/>
  <c r="C289" i="1"/>
  <c r="C630" i="1"/>
  <c r="C378" i="1"/>
  <c r="C689" i="1"/>
  <c r="C444" i="1"/>
  <c r="C290" i="1"/>
  <c r="C200" i="1"/>
  <c r="C318" i="1"/>
  <c r="C515" i="1"/>
  <c r="C690" i="1"/>
  <c r="C379" i="1"/>
  <c r="C117" i="1"/>
  <c r="C654" i="1"/>
  <c r="C897" i="1"/>
  <c r="C402" i="1"/>
  <c r="C920" i="1"/>
  <c r="C791" i="1"/>
  <c r="C655" i="1"/>
  <c r="C792" i="1"/>
  <c r="C656" i="1"/>
  <c r="C598" i="1"/>
  <c r="C516" i="1"/>
  <c r="C898" i="1"/>
  <c r="C291" i="1"/>
  <c r="C870" i="1"/>
  <c r="C962" i="1"/>
  <c r="C733" i="1"/>
  <c r="C95" i="1"/>
  <c r="C96" i="1"/>
  <c r="C769" i="1"/>
  <c r="C5" i="1"/>
  <c r="C538" i="1"/>
  <c r="C678" i="1"/>
  <c r="C359" i="1"/>
  <c r="C770" i="1"/>
  <c r="C679" i="1"/>
  <c r="C834" i="1"/>
  <c r="C921" i="1"/>
  <c r="C149" i="1"/>
  <c r="C922" i="1"/>
  <c r="C491" i="1"/>
  <c r="C941" i="1"/>
  <c r="C340" i="1"/>
  <c r="C942" i="1"/>
  <c r="C445" i="1"/>
  <c r="C403" i="1"/>
  <c r="C341" i="1"/>
  <c r="C614" i="1"/>
  <c r="C582" i="1"/>
  <c r="C899" i="1"/>
  <c r="C631" i="1"/>
  <c r="C429" i="1"/>
  <c r="C118" i="1"/>
  <c r="C561" i="1"/>
  <c r="C583" i="1"/>
  <c r="C871" i="1"/>
  <c r="C986" i="1"/>
  <c r="C900" i="1"/>
  <c r="C135" i="1"/>
  <c r="C752" i="1"/>
  <c r="C460" i="1"/>
  <c r="C35" i="1"/>
  <c r="C292" i="1"/>
  <c r="C709" i="1"/>
  <c r="C461" i="1"/>
  <c r="C52" i="1"/>
  <c r="C446" i="1"/>
  <c r="C813" i="1"/>
  <c r="C462" i="1"/>
  <c r="C6" i="1"/>
  <c r="C562" i="1"/>
  <c r="C7" i="1"/>
  <c r="C380" i="1"/>
  <c r="C97" i="1"/>
  <c r="C657" i="1"/>
  <c r="C463" i="1"/>
  <c r="C246" i="1"/>
  <c r="C987" i="1"/>
  <c r="C835" i="1"/>
  <c r="C265" i="1"/>
  <c r="C691" i="1"/>
  <c r="C8" i="1"/>
  <c r="C563" i="1"/>
  <c r="C710" i="1"/>
  <c r="C464" i="1"/>
  <c r="C430" i="1"/>
  <c r="C539" i="1"/>
  <c r="C711" i="1"/>
  <c r="C517" i="1"/>
  <c r="C963" i="1"/>
  <c r="C53" i="1"/>
  <c r="C465" i="1"/>
  <c r="C712" i="1"/>
  <c r="C853" i="1"/>
  <c r="C943" i="1"/>
  <c r="C9" i="1"/>
  <c r="C540" i="1"/>
  <c r="C36" i="1"/>
  <c r="C98" i="1"/>
  <c r="C10" i="1"/>
  <c r="C54" i="1"/>
  <c r="C632" i="1"/>
  <c r="C201" i="1"/>
  <c r="C266" i="1"/>
  <c r="C692" i="1"/>
  <c r="C492" i="1"/>
  <c r="C221" i="1"/>
  <c r="C431" i="1"/>
  <c r="C793" i="1"/>
  <c r="C180" i="1"/>
  <c r="C658" i="1"/>
  <c r="C181" i="1"/>
  <c r="C564" i="1"/>
  <c r="C466" i="1"/>
  <c r="C78" i="1"/>
  <c r="C493" i="1"/>
  <c r="C659" i="1"/>
  <c r="C734" i="1"/>
  <c r="C599" i="1"/>
  <c r="C494" i="1"/>
  <c r="C923" i="1"/>
  <c r="C794" i="1"/>
  <c r="C944" i="1"/>
  <c r="C136" i="1"/>
  <c r="C55" i="1"/>
  <c r="C633" i="1"/>
  <c r="C11" i="1"/>
  <c r="C247" i="1"/>
  <c r="C12" i="1"/>
  <c r="C565" i="1"/>
  <c r="C293" i="1"/>
  <c r="C13" i="1"/>
  <c r="C836" i="1"/>
  <c r="C150" i="1"/>
  <c r="C79" i="1"/>
  <c r="C615" i="1"/>
  <c r="C119" i="1"/>
  <c r="C137" i="1"/>
  <c r="C222" i="1"/>
  <c r="C872" i="1"/>
  <c r="C467" i="1"/>
  <c r="C294" i="1"/>
  <c r="C56" i="1"/>
  <c r="C873" i="1"/>
  <c r="C223" i="1"/>
  <c r="C319" i="1"/>
  <c r="C566" i="1"/>
  <c r="C584" i="1"/>
  <c r="C874" i="1"/>
  <c r="C875" i="1"/>
  <c r="C924" i="1"/>
  <c r="C381" i="1"/>
  <c r="C771" i="1"/>
  <c r="C382" i="1"/>
  <c r="C360" i="1"/>
  <c r="C518" i="1"/>
  <c r="C814" i="1"/>
  <c r="C945" i="1"/>
  <c r="C361" i="1"/>
  <c r="C151" i="1"/>
  <c r="C224" i="1"/>
  <c r="C248" i="1"/>
  <c r="C519" i="1"/>
  <c r="C362" i="1"/>
  <c r="C876" i="1"/>
  <c r="C964" i="1"/>
  <c r="C600" i="1"/>
  <c r="C432" i="1"/>
  <c r="C772" i="1"/>
  <c r="C925" i="1"/>
  <c r="C693" i="1"/>
  <c r="C877" i="1"/>
  <c r="C383" i="1"/>
  <c r="C202" i="1"/>
  <c r="C965" i="1"/>
  <c r="C694" i="1"/>
  <c r="C773" i="1"/>
  <c r="C837" i="1"/>
  <c r="C468" i="1"/>
  <c r="C57" i="1"/>
  <c r="C80" i="1"/>
  <c r="C901" i="1"/>
  <c r="C878" i="1"/>
  <c r="C469" i="1"/>
  <c r="C926" i="1"/>
  <c r="C616" i="1"/>
  <c r="C601" i="1"/>
  <c r="C320" i="1"/>
  <c r="C602" i="1"/>
  <c r="C753" i="1"/>
  <c r="C14" i="1"/>
  <c r="C988" i="1"/>
  <c r="C470" i="1"/>
  <c r="C713" i="1"/>
  <c r="C203" i="1"/>
  <c r="C225" i="1"/>
  <c r="C774" i="1"/>
  <c r="C249" i="1"/>
  <c r="C735" i="1"/>
  <c r="C99" i="1"/>
  <c r="C946" i="1"/>
  <c r="C321" i="1"/>
  <c r="C879" i="1"/>
  <c r="C795" i="1"/>
  <c r="C902" i="1"/>
  <c r="C541" i="1"/>
  <c r="C796" i="1"/>
  <c r="C81" i="1"/>
  <c r="C966" i="1"/>
  <c r="C736" i="1"/>
  <c r="C152" i="1"/>
  <c r="C967" i="1"/>
  <c r="C603" i="1"/>
  <c r="C989" i="1"/>
  <c r="C226" i="1"/>
  <c r="C815" i="1"/>
  <c r="C660" i="1"/>
  <c r="C816" i="1"/>
  <c r="C775" i="1"/>
  <c r="C695" i="1"/>
  <c r="C520" i="1"/>
  <c r="C204" i="1"/>
  <c r="C267" i="1"/>
  <c r="C384" i="1"/>
  <c r="C363" i="1"/>
  <c r="C903" i="1"/>
  <c r="C82" i="1"/>
  <c r="C714" i="1"/>
  <c r="C776" i="1"/>
  <c r="C817" i="1"/>
  <c r="C295" i="1"/>
  <c r="C754" i="1"/>
  <c r="C268" i="1"/>
  <c r="C269" i="1"/>
  <c r="C990" i="1"/>
  <c r="C153" i="1"/>
  <c r="C567" i="1"/>
  <c r="C404" i="1"/>
  <c r="C838" i="1"/>
  <c r="C777" i="1"/>
  <c r="C138" i="1"/>
  <c r="C227" i="1"/>
  <c r="C715" i="1"/>
  <c r="C385" i="1"/>
  <c r="C270" i="1"/>
  <c r="C585" i="1"/>
  <c r="C228" i="1"/>
  <c r="C904" i="1"/>
  <c r="C617" i="1"/>
  <c r="C716" i="1"/>
  <c r="C471" i="1"/>
  <c r="C927" i="1"/>
  <c r="C495" i="1"/>
  <c r="C58" i="1"/>
  <c r="C120" i="1"/>
  <c r="C496" i="1"/>
  <c r="C634" i="1"/>
  <c r="C154" i="1"/>
  <c r="C839" i="1"/>
  <c r="C182" i="1"/>
  <c r="C155" i="1"/>
  <c r="C717" i="1"/>
  <c r="C342" i="1"/>
  <c r="C205" i="1"/>
  <c r="C322" i="1"/>
  <c r="C542" i="1"/>
  <c r="C696" i="1"/>
  <c r="C323" i="1"/>
  <c r="C497" i="1"/>
  <c r="C661" i="1"/>
  <c r="C324" i="1"/>
  <c r="C15" i="1"/>
  <c r="C968" i="1"/>
  <c r="C718" i="1"/>
  <c r="C156" i="1"/>
  <c r="C157" i="1"/>
  <c r="C183" i="1"/>
  <c r="C880" i="1"/>
  <c r="C881" i="1"/>
  <c r="C947" i="1"/>
  <c r="C854" i="1"/>
  <c r="C840" i="1"/>
  <c r="C121" i="1"/>
  <c r="C697" i="1"/>
  <c r="C16" i="1"/>
  <c r="C405" i="1"/>
  <c r="C325" i="1"/>
  <c r="C386" i="1"/>
  <c r="C184" i="1"/>
  <c r="C447" i="1"/>
  <c r="C250" i="1"/>
  <c r="C406" i="1"/>
  <c r="C206" i="1"/>
  <c r="C326" i="1"/>
  <c r="C229" i="1"/>
  <c r="C448" i="1"/>
  <c r="C327" i="1"/>
  <c r="C928" i="1"/>
  <c r="C568" i="1"/>
  <c r="C969" i="1"/>
  <c r="C797" i="1"/>
  <c r="C905" i="1"/>
  <c r="C798" i="1"/>
  <c r="C328" i="1"/>
  <c r="C207" i="1"/>
  <c r="C737" i="1"/>
  <c r="C364" i="1"/>
  <c r="C17" i="1"/>
  <c r="C251" i="1"/>
  <c r="C59" i="1"/>
  <c r="C521" i="1"/>
  <c r="C698" i="1"/>
  <c r="C407" i="1"/>
  <c r="C841" i="1"/>
  <c r="C906" i="1"/>
  <c r="C408" i="1"/>
  <c r="C18" i="1"/>
  <c r="C929" i="1"/>
  <c r="C755" i="1"/>
  <c r="C60" i="1"/>
  <c r="C970" i="1"/>
  <c r="C449" i="1"/>
  <c r="C365" i="1"/>
  <c r="C252" i="1"/>
  <c r="C253" i="1"/>
  <c r="C472" i="1"/>
  <c r="C100" i="1"/>
  <c r="C450" i="1"/>
  <c r="C907" i="1"/>
  <c r="C604" i="1"/>
  <c r="C778" i="1"/>
  <c r="C799" i="1"/>
  <c r="C158" i="1"/>
  <c r="C208" i="1"/>
  <c r="C882" i="1"/>
  <c r="C842" i="1"/>
  <c r="C543" i="1"/>
  <c r="C19" i="1"/>
  <c r="C473" i="1"/>
  <c r="C37" i="1"/>
  <c r="C101" i="1"/>
  <c r="C756" i="1"/>
  <c r="C474" i="1"/>
  <c r="C738" i="1"/>
  <c r="C159" i="1"/>
  <c r="C635" i="1"/>
  <c r="C498" i="1"/>
  <c r="C329" i="1"/>
  <c r="C20" i="1"/>
  <c r="C160" i="1"/>
  <c r="C102" i="1"/>
  <c r="C757" i="1"/>
  <c r="C83" i="1"/>
  <c r="C254" i="1"/>
  <c r="C930" i="1"/>
  <c r="C908" i="1"/>
  <c r="C230" i="1"/>
  <c r="C843" i="1"/>
  <c r="C122" i="1"/>
  <c r="C433" i="1"/>
  <c r="C366" i="1"/>
  <c r="C818" i="1"/>
  <c r="C409" i="1"/>
  <c r="C719" i="1"/>
  <c r="C161" i="1"/>
  <c r="C139" i="1"/>
  <c r="C569" i="1"/>
  <c r="C779" i="1"/>
  <c r="C544" i="1"/>
  <c r="C991" i="1"/>
  <c r="C38" i="1"/>
  <c r="C231" i="1"/>
  <c r="C586" i="1"/>
  <c r="C475" i="1"/>
  <c r="C39" i="1"/>
  <c r="C255" i="1"/>
  <c r="C545" i="1"/>
  <c r="C992" i="1"/>
  <c r="C162" i="1"/>
  <c r="C699" i="1"/>
  <c r="C587" i="1"/>
  <c r="C21" i="1"/>
  <c r="C819" i="1"/>
  <c r="C820" i="1"/>
  <c r="C800" i="1"/>
  <c r="C476" i="1"/>
  <c r="C140" i="1"/>
  <c r="C271" i="1"/>
  <c r="C499" i="1"/>
  <c r="C477" i="1"/>
  <c r="C780" i="1"/>
  <c r="C209" i="1"/>
  <c r="C971" i="1"/>
  <c r="C855" i="1"/>
  <c r="C636" i="1"/>
  <c r="C451" i="1"/>
  <c r="C296" i="1"/>
  <c r="C452" i="1"/>
  <c r="C662" i="1"/>
  <c r="C103" i="1"/>
  <c r="C84" i="1"/>
  <c r="C522" i="1"/>
  <c r="C500" i="1"/>
  <c r="C856" i="1"/>
  <c r="C883" i="1"/>
  <c r="C523" i="1"/>
  <c r="C330" i="1"/>
  <c r="C410" i="1"/>
  <c r="C104" i="1"/>
  <c r="C570" i="1"/>
  <c r="C478" i="1"/>
  <c r="C434" i="1"/>
  <c r="C588" i="1"/>
  <c r="C857" i="1"/>
  <c r="C663" i="1"/>
  <c r="C605" i="1"/>
  <c r="C141" i="1"/>
  <c r="C606" i="1"/>
  <c r="C571" i="1"/>
  <c r="C435" i="1"/>
  <c r="C163" i="1"/>
  <c r="C858" i="1"/>
  <c r="C993" i="1"/>
  <c r="C343" i="1"/>
  <c r="C739" i="1"/>
  <c r="C387" i="1"/>
  <c r="C546" i="1"/>
  <c r="C618" i="1"/>
  <c r="C344" i="1"/>
  <c r="C388" i="1"/>
  <c r="C411" i="1"/>
  <c r="C61" i="1"/>
  <c r="C412" i="1"/>
  <c r="C389" i="1"/>
  <c r="C680" i="1"/>
  <c r="C164" i="1"/>
  <c r="C619" i="1"/>
  <c r="C637" i="1"/>
  <c r="C994" i="1"/>
  <c r="C720" i="1"/>
  <c r="C22" i="1"/>
  <c r="C972" i="1"/>
  <c r="C436" i="1"/>
  <c r="C390" i="1"/>
  <c r="C210" i="1"/>
  <c r="C931" i="1"/>
  <c r="C995" i="1"/>
  <c r="C844" i="1"/>
  <c r="C413" i="1"/>
  <c r="C185" i="1"/>
  <c r="C948" i="1"/>
  <c r="C345" i="1"/>
  <c r="C801" i="1"/>
  <c r="C802" i="1"/>
  <c r="C620" i="1"/>
  <c r="C40" i="1"/>
  <c r="C297" i="1"/>
  <c r="C331" i="1"/>
  <c r="C547" i="1"/>
  <c r="C437" i="1"/>
  <c r="C346" i="1"/>
  <c r="C859" i="1"/>
  <c r="C414" i="1"/>
  <c r="C845" i="1"/>
  <c r="C996" i="1"/>
  <c r="C949" i="1"/>
  <c r="C524" i="1"/>
  <c r="C548" i="1"/>
  <c r="C846" i="1"/>
  <c r="C23" i="1"/>
  <c r="C232" i="1"/>
  <c r="C950" i="1"/>
  <c r="C332" i="1"/>
  <c r="C438" i="1"/>
  <c r="C24" i="1"/>
  <c r="C847" i="1"/>
  <c r="C298" i="1"/>
  <c r="C272" i="1"/>
  <c r="C347" i="1"/>
  <c r="C525" i="1"/>
  <c r="C721" i="1"/>
  <c r="C348" i="1"/>
  <c r="C41" i="1"/>
  <c r="C105" i="1"/>
  <c r="C681" i="1"/>
  <c r="C932" i="1"/>
  <c r="C233" i="1"/>
  <c r="C589" i="1"/>
  <c r="C722" i="1"/>
  <c r="C367" i="1"/>
  <c r="C638" i="1"/>
  <c r="C860" i="1"/>
  <c r="C803" i="1"/>
  <c r="C861" i="1"/>
  <c r="C333" i="1"/>
  <c r="C549" i="1"/>
  <c r="C590" i="1"/>
  <c r="C621" i="1"/>
  <c r="C622" i="1"/>
  <c r="C256" i="1"/>
  <c r="C415" i="1"/>
  <c r="C639" i="1"/>
  <c r="C973" i="1"/>
  <c r="C997" i="1"/>
  <c r="C25" i="1"/>
  <c r="C909" i="1"/>
  <c r="C607" i="1"/>
  <c r="C781" i="1"/>
  <c r="C123" i="1"/>
  <c r="C974" i="1"/>
  <c r="C951" i="1"/>
  <c r="C550" i="1"/>
  <c r="C758" i="1"/>
  <c r="C608" i="1"/>
  <c r="C910" i="1"/>
  <c r="C234" i="1"/>
  <c r="C211" i="1"/>
  <c r="C391" i="1"/>
  <c r="C821" i="1"/>
  <c r="C299" i="1"/>
  <c r="C85" i="1"/>
  <c r="C273" i="1"/>
  <c r="C572" i="1"/>
  <c r="C86" i="1"/>
  <c r="C526" i="1"/>
  <c r="C664" i="1"/>
  <c r="C804" i="1"/>
  <c r="C392" i="1"/>
  <c r="C42" i="1"/>
  <c r="C551" i="1"/>
  <c r="C349" i="1"/>
  <c r="C665" i="1"/>
  <c r="C666" i="1"/>
  <c r="C723" i="1"/>
  <c r="C822" i="1"/>
  <c r="C165" i="1"/>
  <c r="C975" i="1"/>
  <c r="C62" i="1"/>
  <c r="C501" i="1"/>
  <c r="C186" i="1"/>
  <c r="C823" i="1"/>
  <c r="C573" i="1"/>
  <c r="C106" i="1"/>
  <c r="C43" i="1"/>
  <c r="C933" i="1"/>
  <c r="C479" i="1"/>
  <c r="C416" i="1"/>
  <c r="C63" i="1"/>
  <c r="C300" i="1"/>
  <c r="C552" i="1"/>
  <c r="C235" i="1"/>
  <c r="C782" i="1"/>
  <c r="C884" i="1"/>
  <c r="C640" i="1"/>
  <c r="C591" i="1"/>
  <c r="C124" i="1"/>
  <c r="C257" i="1"/>
  <c r="C142" i="1"/>
  <c r="C212" i="1"/>
  <c r="C301" i="1"/>
  <c r="C667" i="1"/>
  <c r="C236" i="1"/>
  <c r="C502" i="1"/>
  <c r="C213" i="1"/>
  <c r="C759" i="1"/>
  <c r="C553" i="1"/>
  <c r="C125" i="1"/>
  <c r="C574" i="1"/>
  <c r="C592" i="1"/>
  <c r="C453" i="1"/>
  <c r="C368" i="1"/>
  <c r="C885" i="1"/>
  <c r="C454" i="1"/>
  <c r="C166" i="1"/>
  <c r="C302" i="1"/>
  <c r="C760" i="1"/>
  <c r="C64" i="1"/>
  <c r="C862" i="1"/>
  <c r="C805" i="1"/>
  <c r="C65" i="1"/>
  <c r="C668" i="1"/>
  <c r="C480" i="1"/>
  <c r="C593" i="1"/>
  <c r="C439" i="1"/>
  <c r="C44" i="1"/>
  <c r="C976" i="1"/>
  <c r="C107" i="1"/>
  <c r="C998" i="1"/>
  <c r="C258" i="1"/>
  <c r="C481" i="1"/>
  <c r="C417" i="1"/>
  <c r="C594" i="1"/>
  <c r="C783" i="1"/>
  <c r="C167" i="1"/>
  <c r="C784" i="1"/>
  <c r="C259" i="1"/>
  <c r="C187" i="1"/>
  <c r="C168" i="1"/>
  <c r="C274" i="1"/>
  <c r="C303" i="1"/>
  <c r="C26" i="1"/>
  <c r="C527" i="1"/>
  <c r="C575" i="1"/>
  <c r="C911" i="1"/>
  <c r="C334" i="1"/>
  <c r="C260" i="1"/>
  <c r="C27" i="1"/>
  <c r="C609" i="1"/>
  <c r="C623" i="1"/>
  <c r="C275" i="1"/>
  <c r="C108" i="1"/>
  <c r="C669" i="1"/>
  <c r="C66" i="1"/>
  <c r="C109" i="1"/>
  <c r="C304" i="1"/>
  <c r="C824" i="1"/>
  <c r="C482" i="1"/>
  <c r="C977" i="1"/>
  <c r="C825" i="1"/>
  <c r="C826" i="1"/>
  <c r="C169" i="1"/>
  <c r="C670" i="1"/>
  <c r="C999" i="1"/>
  <c r="C503" i="1"/>
  <c r="C110" i="1"/>
  <c r="C170" i="1"/>
  <c r="C126" i="1"/>
  <c r="C504" i="1"/>
  <c r="C188" i="1"/>
  <c r="C276" i="1"/>
  <c r="C952" i="1"/>
  <c r="C237" i="1"/>
  <c r="C87" i="1"/>
  <c r="C88" i="1"/>
  <c r="C393" i="1"/>
  <c r="C214" i="1"/>
  <c r="C305" i="1"/>
  <c r="C761" i="1"/>
  <c r="C624" i="1"/>
  <c r="C238" i="1"/>
  <c r="C89" i="1"/>
  <c r="C671" i="1"/>
  <c r="C806" i="1"/>
  <c r="C28" i="1"/>
  <c r="C762" i="1"/>
  <c r="C682" i="1"/>
  <c r="C528" i="1"/>
  <c r="C625" i="1"/>
  <c r="C848" i="1"/>
  <c r="C369" i="1"/>
  <c r="C595" i="1"/>
  <c r="C672" i="1"/>
  <c r="C554" i="1"/>
  <c r="C239" i="1"/>
  <c r="C683" i="1"/>
  <c r="C886" i="1"/>
  <c r="C849" i="1"/>
  <c r="C505" i="1"/>
  <c r="C641" i="1"/>
  <c r="C506" i="1"/>
  <c r="C763" i="1"/>
  <c r="C700" i="1"/>
  <c r="C483" i="1"/>
  <c r="C143" i="1"/>
  <c r="C67" i="1"/>
  <c r="C484" i="1"/>
  <c r="C29" i="1"/>
  <c r="C350" i="1"/>
  <c r="C807" i="1"/>
  <c r="C684" i="1"/>
  <c r="C863" i="1"/>
  <c r="C673" i="1"/>
  <c r="C555" i="1"/>
  <c r="C485" i="1"/>
  <c r="C596" i="1"/>
  <c r="C576" i="1"/>
  <c r="C864" i="1"/>
  <c r="C724" i="1"/>
  <c r="C701" i="1"/>
  <c r="C865" i="1"/>
  <c r="C827" i="1"/>
  <c r="C850" i="1"/>
  <c r="C556" i="1"/>
  <c r="C418" i="1"/>
  <c r="C642" i="1"/>
  <c r="C370" i="1"/>
  <c r="C394" i="1"/>
  <c r="C189" i="1"/>
  <c r="C277" i="1"/>
  <c r="C643" i="1"/>
  <c r="C127" i="1"/>
  <c r="C190" i="1"/>
  <c r="C674" i="1"/>
  <c r="C725" i="1"/>
  <c r="C371" i="1"/>
  <c r="C529" i="1"/>
  <c r="C278" i="1"/>
  <c r="C90" i="1"/>
  <c r="C68" i="1"/>
  <c r="C306" i="1"/>
  <c r="C953" i="1"/>
  <c r="C240" i="1"/>
  <c r="C111" i="1"/>
  <c r="C171" i="1"/>
  <c r="C486" i="1"/>
  <c r="C557" i="1"/>
  <c r="C91" i="1"/>
  <c r="C191" i="1"/>
  <c r="C702" i="1"/>
  <c r="C934" i="1"/>
  <c r="C419" i="1"/>
  <c r="C577" i="1"/>
  <c r="C507" i="1"/>
  <c r="C740" i="1"/>
  <c r="C644" i="1"/>
  <c r="C335" i="1"/>
  <c r="C685" i="1"/>
  <c r="C69" i="1"/>
  <c r="C128" i="1"/>
  <c r="C92" i="1"/>
  <c r="C978" i="1"/>
  <c r="C279" i="1"/>
  <c r="C129" i="1"/>
  <c r="C307" i="1"/>
  <c r="C395" i="1"/>
  <c r="C741" i="1"/>
  <c r="C742" i="1"/>
  <c r="C645" i="1"/>
  <c r="C351" i="1"/>
  <c r="C352" i="1"/>
  <c r="C280" i="1"/>
  <c r="C192" i="1"/>
  <c r="C45" i="1"/>
  <c r="C420" i="1"/>
  <c r="C421" i="1"/>
  <c r="C93" i="1"/>
  <c r="C686" i="1"/>
  <c r="C94" i="1"/>
  <c r="C30" i="1"/>
  <c r="C808" i="1"/>
  <c r="C396" i="1"/>
  <c r="C508" i="1"/>
  <c r="C193" i="1"/>
  <c r="C610" i="1"/>
  <c r="C912" i="1"/>
  <c r="C1000" i="1"/>
  <c r="C397" i="1"/>
  <c r="C954" i="1"/>
  <c r="C70" i="1"/>
  <c r="C726" i="1"/>
  <c r="C398" i="1"/>
  <c r="C935" i="1"/>
  <c r="C646" i="1"/>
  <c r="C241" i="1"/>
  <c r="C509" i="1"/>
  <c r="C1001" i="1"/>
  <c r="C46" i="1"/>
  <c r="C703" i="1"/>
  <c r="C828" i="1"/>
  <c r="C704" i="1"/>
  <c r="C530" i="1"/>
  <c r="C936" i="1"/>
  <c r="C764" i="1"/>
  <c r="C242" i="1"/>
  <c r="C243" i="1"/>
  <c r="C112" i="1"/>
  <c r="C887" i="1"/>
  <c r="C194" i="1"/>
  <c r="C47" i="1"/>
  <c r="C531" i="1"/>
  <c r="C785" i="1"/>
  <c r="C743" i="1"/>
  <c r="C308" i="1"/>
  <c r="C510" i="1"/>
  <c r="C866" i="1"/>
  <c r="C937" i="1"/>
  <c r="C851" i="1"/>
  <c r="C611" i="1"/>
  <c r="C422" i="1"/>
  <c r="C71" i="1"/>
  <c r="C48" i="1"/>
  <c r="C809" i="1"/>
  <c r="C113" i="1"/>
  <c r="C309" i="1"/>
  <c r="C487" i="1"/>
  <c r="C144" i="1"/>
  <c r="C955" i="1"/>
  <c r="C888" i="1"/>
  <c r="C913" i="1"/>
  <c r="C914" i="1"/>
  <c r="C31" i="1"/>
  <c r="C558" i="1"/>
  <c r="C829" i="1"/>
  <c r="C281" i="1"/>
  <c r="C612" i="1"/>
  <c r="C130" i="1"/>
  <c r="C282" i="1"/>
  <c r="C647" i="1"/>
  <c r="C675" i="1"/>
  <c r="C532" i="1"/>
  <c r="C956" i="1"/>
  <c r="C353" i="1"/>
  <c r="C283" i="1"/>
  <c r="C215" i="1"/>
  <c r="C744" i="1"/>
  <c r="C32" i="1"/>
  <c r="C511" i="1"/>
  <c r="C830" i="1"/>
  <c r="C938" i="1"/>
  <c r="C727" i="1"/>
  <c r="C244" i="1"/>
  <c r="C310" i="1"/>
  <c r="C786" i="1"/>
  <c r="C145" i="1"/>
  <c r="C957" i="1"/>
  <c r="C440" i="1"/>
  <c r="C423" i="1"/>
  <c r="C831" i="1"/>
  <c r="C958" i="1"/>
  <c r="C512" i="1"/>
  <c r="C311" i="1"/>
  <c r="C765" i="1"/>
  <c r="C131" i="1"/>
  <c r="C832" i="1"/>
  <c r="C705" i="1"/>
  <c r="C172" i="1"/>
  <c r="C513" i="1"/>
  <c r="C915" i="1"/>
  <c r="C787" i="1"/>
  <c r="C312" i="1"/>
  <c r="C533" i="1"/>
  <c r="C706" i="1"/>
  <c r="C216" i="1"/>
  <c r="C852" i="1"/>
  <c r="C916" i="1"/>
  <c r="C488" i="1"/>
  <c r="C648" i="1"/>
  <c r="C889" i="1"/>
  <c r="C245" i="1"/>
  <c r="C745" i="1"/>
  <c r="C441" i="1"/>
  <c r="C917" i="1"/>
  <c r="C746" i="1"/>
  <c r="C676" i="1"/>
  <c r="C173" i="1"/>
  <c r="C72" i="1"/>
  <c r="C354" i="1"/>
  <c r="C424" i="1"/>
  <c r="C959" i="1"/>
  <c r="C174" i="1"/>
  <c r="C313" i="1"/>
  <c r="C175" i="1"/>
  <c r="C455" i="1"/>
  <c r="C747" i="1"/>
  <c r="C73" i="1"/>
  <c r="C336" i="1"/>
  <c r="C890" i="1"/>
  <c r="C534" i="1"/>
  <c r="C626" i="1"/>
  <c r="C687" i="1"/>
  <c r="C176" i="1"/>
  <c r="C442" i="1"/>
  <c r="C337" i="1"/>
  <c r="C146" i="1"/>
  <c r="C748" i="1"/>
  <c r="C114" i="1"/>
  <c r="C74" i="1"/>
  <c r="C514" i="1"/>
  <c r="C132" i="1"/>
  <c r="C261" i="1"/>
  <c r="C456" i="1"/>
  <c r="C217" i="1"/>
  <c r="C867" i="1"/>
  <c r="C918" i="1"/>
  <c r="C115" i="1"/>
  <c r="C75" i="1"/>
  <c r="C372" i="1"/>
  <c r="C559" i="1"/>
  <c r="C133" i="1"/>
  <c r="C810" i="1"/>
  <c r="C355" i="1"/>
  <c r="C116" i="1"/>
  <c r="C399" i="1"/>
  <c r="C195" i="1"/>
  <c r="C373" i="1"/>
  <c r="C649" i="1"/>
  <c r="C262" i="1"/>
  <c r="C979" i="1"/>
  <c r="C728" i="1"/>
  <c r="C749" i="1"/>
  <c r="C425" i="1"/>
  <c r="C766" i="1"/>
  <c r="C196" i="1"/>
  <c r="C980" i="1"/>
  <c r="C356" i="1"/>
  <c r="C750" i="1"/>
  <c r="C49" i="1"/>
  <c r="C457" i="1"/>
  <c r="C147" i="1"/>
  <c r="C677" i="1"/>
  <c r="C177" i="1"/>
  <c r="C374" i="1"/>
  <c r="C314" i="1"/>
  <c r="C535" i="1"/>
  <c r="C76" i="1"/>
  <c r="C284" i="1"/>
  <c r="C891" i="1"/>
  <c r="C627" i="1"/>
  <c r="C400" i="1"/>
  <c r="D315" i="1"/>
  <c r="D597" i="1"/>
  <c r="D729" i="1"/>
  <c r="D426" i="1"/>
  <c r="D401" i="1"/>
  <c r="D730" i="1"/>
  <c r="D33" i="1"/>
  <c r="D263" i="1"/>
  <c r="D868" i="1"/>
  <c r="D628" i="1"/>
  <c r="D892" i="1"/>
  <c r="D2" i="1"/>
  <c r="D489" i="1"/>
  <c r="D960" i="1"/>
  <c r="D788" i="1"/>
  <c r="D375" i="1"/>
  <c r="D50" i="1"/>
  <c r="D893" i="1"/>
  <c r="D316" i="1"/>
  <c r="D981" i="1"/>
  <c r="D629" i="1"/>
  <c r="D338" i="1"/>
  <c r="D3" i="1"/>
  <c r="D767" i="1"/>
  <c r="D578" i="1"/>
  <c r="D458" i="1"/>
  <c r="D490" i="1"/>
  <c r="D560" i="1"/>
  <c r="D443" i="1"/>
  <c r="D731" i="1"/>
  <c r="D317" i="1"/>
  <c r="D285" i="1"/>
  <c r="D134" i="1"/>
  <c r="D264" i="1"/>
  <c r="D982" i="1"/>
  <c r="D579" i="1"/>
  <c r="D869" i="1"/>
  <c r="D427" i="1"/>
  <c r="D651" i="1"/>
  <c r="D894" i="1"/>
  <c r="D357" i="1"/>
  <c r="D895" i="1"/>
  <c r="D197" i="1"/>
  <c r="D939" i="1"/>
  <c r="D536" i="1"/>
  <c r="D218" i="1"/>
  <c r="D219" i="1"/>
  <c r="D789" i="1"/>
  <c r="D790" i="1"/>
  <c r="D613" i="1"/>
  <c r="D652" i="1"/>
  <c r="D580" i="1"/>
  <c r="D707" i="1"/>
  <c r="D812" i="1"/>
  <c r="D34" i="1"/>
  <c r="D983" i="1"/>
  <c r="D51" i="1"/>
  <c r="D732" i="1"/>
  <c r="D919" i="1"/>
  <c r="D984" i="1"/>
  <c r="D148" i="1"/>
  <c r="D339" i="1"/>
  <c r="D286" i="1"/>
  <c r="D428" i="1"/>
  <c r="D358" i="1"/>
  <c r="D833" i="1"/>
  <c r="D178" i="1"/>
  <c r="D459" i="1"/>
  <c r="D287" i="1"/>
  <c r="D940" i="1"/>
  <c r="D751" i="1"/>
  <c r="D985" i="1"/>
  <c r="D77" i="1"/>
  <c r="D896" i="1"/>
  <c r="D376" i="1"/>
  <c r="D377" i="1"/>
  <c r="D653" i="1"/>
  <c r="D4" i="1"/>
  <c r="D537" i="1"/>
  <c r="D688" i="1"/>
  <c r="D220" i="1"/>
  <c r="D581" i="1"/>
  <c r="D708" i="1"/>
  <c r="D961" i="1"/>
  <c r="D768" i="1"/>
  <c r="D179" i="1"/>
  <c r="D198" i="1"/>
  <c r="D288" i="1"/>
  <c r="D199" i="1"/>
  <c r="D289" i="1"/>
  <c r="D630" i="1"/>
  <c r="D378" i="1"/>
  <c r="D689" i="1"/>
  <c r="D444" i="1"/>
  <c r="D290" i="1"/>
  <c r="D200" i="1"/>
  <c r="D318" i="1"/>
  <c r="D515" i="1"/>
  <c r="D690" i="1"/>
  <c r="D379" i="1"/>
  <c r="D117" i="1"/>
  <c r="D654" i="1"/>
  <c r="D897" i="1"/>
  <c r="D402" i="1"/>
  <c r="D920" i="1"/>
  <c r="D791" i="1"/>
  <c r="D655" i="1"/>
  <c r="D792" i="1"/>
  <c r="D656" i="1"/>
  <c r="D598" i="1"/>
  <c r="D516" i="1"/>
  <c r="D898" i="1"/>
  <c r="D291" i="1"/>
  <c r="D870" i="1"/>
  <c r="D962" i="1"/>
  <c r="D733" i="1"/>
  <c r="D95" i="1"/>
  <c r="D96" i="1"/>
  <c r="D769" i="1"/>
  <c r="D5" i="1"/>
  <c r="D538" i="1"/>
  <c r="D678" i="1"/>
  <c r="D359" i="1"/>
  <c r="D770" i="1"/>
  <c r="D679" i="1"/>
  <c r="D834" i="1"/>
  <c r="D921" i="1"/>
  <c r="D149" i="1"/>
  <c r="D922" i="1"/>
  <c r="D491" i="1"/>
  <c r="D941" i="1"/>
  <c r="D340" i="1"/>
  <c r="D942" i="1"/>
  <c r="D445" i="1"/>
  <c r="D403" i="1"/>
  <c r="D341" i="1"/>
  <c r="D614" i="1"/>
  <c r="D582" i="1"/>
  <c r="D899" i="1"/>
  <c r="D631" i="1"/>
  <c r="D429" i="1"/>
  <c r="D118" i="1"/>
  <c r="D561" i="1"/>
  <c r="D583" i="1"/>
  <c r="D871" i="1"/>
  <c r="D986" i="1"/>
  <c r="D900" i="1"/>
  <c r="D135" i="1"/>
  <c r="D752" i="1"/>
  <c r="D460" i="1"/>
  <c r="D35" i="1"/>
  <c r="D292" i="1"/>
  <c r="D709" i="1"/>
  <c r="D461" i="1"/>
  <c r="D52" i="1"/>
  <c r="D446" i="1"/>
  <c r="D813" i="1"/>
  <c r="D462" i="1"/>
  <c r="D6" i="1"/>
  <c r="D562" i="1"/>
  <c r="D7" i="1"/>
  <c r="D380" i="1"/>
  <c r="D97" i="1"/>
  <c r="D657" i="1"/>
  <c r="D463" i="1"/>
  <c r="D246" i="1"/>
  <c r="D987" i="1"/>
  <c r="D835" i="1"/>
  <c r="D265" i="1"/>
  <c r="D691" i="1"/>
  <c r="D8" i="1"/>
  <c r="D563" i="1"/>
  <c r="D710" i="1"/>
  <c r="D464" i="1"/>
  <c r="D430" i="1"/>
  <c r="D539" i="1"/>
  <c r="D711" i="1"/>
  <c r="D517" i="1"/>
  <c r="D963" i="1"/>
  <c r="D53" i="1"/>
  <c r="D465" i="1"/>
  <c r="D712" i="1"/>
  <c r="D853" i="1"/>
  <c r="D943" i="1"/>
  <c r="D9" i="1"/>
  <c r="D540" i="1"/>
  <c r="D36" i="1"/>
  <c r="D98" i="1"/>
  <c r="D10" i="1"/>
  <c r="D54" i="1"/>
  <c r="D632" i="1"/>
  <c r="D201" i="1"/>
  <c r="D266" i="1"/>
  <c r="D692" i="1"/>
  <c r="D492" i="1"/>
  <c r="D221" i="1"/>
  <c r="D431" i="1"/>
  <c r="D793" i="1"/>
  <c r="D180" i="1"/>
  <c r="D658" i="1"/>
  <c r="D181" i="1"/>
  <c r="D564" i="1"/>
  <c r="D466" i="1"/>
  <c r="D78" i="1"/>
  <c r="D493" i="1"/>
  <c r="D659" i="1"/>
  <c r="D734" i="1"/>
  <c r="D599" i="1"/>
  <c r="D494" i="1"/>
  <c r="D923" i="1"/>
  <c r="D794" i="1"/>
  <c r="D944" i="1"/>
  <c r="D136" i="1"/>
  <c r="D55" i="1"/>
  <c r="D633" i="1"/>
  <c r="D11" i="1"/>
  <c r="D247" i="1"/>
  <c r="D12" i="1"/>
  <c r="D565" i="1"/>
  <c r="D293" i="1"/>
  <c r="D13" i="1"/>
  <c r="D836" i="1"/>
  <c r="D150" i="1"/>
  <c r="D79" i="1"/>
  <c r="D615" i="1"/>
  <c r="D119" i="1"/>
  <c r="D137" i="1"/>
  <c r="D222" i="1"/>
  <c r="D872" i="1"/>
  <c r="D467" i="1"/>
  <c r="D294" i="1"/>
  <c r="D56" i="1"/>
  <c r="D873" i="1"/>
  <c r="D223" i="1"/>
  <c r="D319" i="1"/>
  <c r="D566" i="1"/>
  <c r="D584" i="1"/>
  <c r="D874" i="1"/>
  <c r="D875" i="1"/>
  <c r="D924" i="1"/>
  <c r="D381" i="1"/>
  <c r="D771" i="1"/>
  <c r="D382" i="1"/>
  <c r="D360" i="1"/>
  <c r="D518" i="1"/>
  <c r="D814" i="1"/>
  <c r="D945" i="1"/>
  <c r="D361" i="1"/>
  <c r="D151" i="1"/>
  <c r="D224" i="1"/>
  <c r="D248" i="1"/>
  <c r="D519" i="1"/>
  <c r="D362" i="1"/>
  <c r="D876" i="1"/>
  <c r="D964" i="1"/>
  <c r="D600" i="1"/>
  <c r="D432" i="1"/>
  <c r="D772" i="1"/>
  <c r="D925" i="1"/>
  <c r="D693" i="1"/>
  <c r="D877" i="1"/>
  <c r="D383" i="1"/>
  <c r="D202" i="1"/>
  <c r="D965" i="1"/>
  <c r="D694" i="1"/>
  <c r="D773" i="1"/>
  <c r="D837" i="1"/>
  <c r="D468" i="1"/>
  <c r="D57" i="1"/>
  <c r="D80" i="1"/>
  <c r="D901" i="1"/>
  <c r="D878" i="1"/>
  <c r="D469" i="1"/>
  <c r="D926" i="1"/>
  <c r="D616" i="1"/>
  <c r="D601" i="1"/>
  <c r="D320" i="1"/>
  <c r="D602" i="1"/>
  <c r="D753" i="1"/>
  <c r="D14" i="1"/>
  <c r="D988" i="1"/>
  <c r="D470" i="1"/>
  <c r="D713" i="1"/>
  <c r="D203" i="1"/>
  <c r="D225" i="1"/>
  <c r="D774" i="1"/>
  <c r="D249" i="1"/>
  <c r="D735" i="1"/>
  <c r="D99" i="1"/>
  <c r="D946" i="1"/>
  <c r="D321" i="1"/>
  <c r="D879" i="1"/>
  <c r="D795" i="1"/>
  <c r="D902" i="1"/>
  <c r="D541" i="1"/>
  <c r="D796" i="1"/>
  <c r="D81" i="1"/>
  <c r="D966" i="1"/>
  <c r="D736" i="1"/>
  <c r="D152" i="1"/>
  <c r="D967" i="1"/>
  <c r="D603" i="1"/>
  <c r="D989" i="1"/>
  <c r="D226" i="1"/>
  <c r="D815" i="1"/>
  <c r="D660" i="1"/>
  <c r="D816" i="1"/>
  <c r="D775" i="1"/>
  <c r="D695" i="1"/>
  <c r="D520" i="1"/>
  <c r="D204" i="1"/>
  <c r="D267" i="1"/>
  <c r="D384" i="1"/>
  <c r="D363" i="1"/>
  <c r="D903" i="1"/>
  <c r="D82" i="1"/>
  <c r="D714" i="1"/>
  <c r="D776" i="1"/>
  <c r="D817" i="1"/>
  <c r="D295" i="1"/>
  <c r="D754" i="1"/>
  <c r="D268" i="1"/>
  <c r="D269" i="1"/>
  <c r="D990" i="1"/>
  <c r="D153" i="1"/>
  <c r="D567" i="1"/>
  <c r="D404" i="1"/>
  <c r="D838" i="1"/>
  <c r="D777" i="1"/>
  <c r="D138" i="1"/>
  <c r="D227" i="1"/>
  <c r="D715" i="1"/>
  <c r="D385" i="1"/>
  <c r="D270" i="1"/>
  <c r="D585" i="1"/>
  <c r="D228" i="1"/>
  <c r="D904" i="1"/>
  <c r="D617" i="1"/>
  <c r="D716" i="1"/>
  <c r="D471" i="1"/>
  <c r="D927" i="1"/>
  <c r="D495" i="1"/>
  <c r="D58" i="1"/>
  <c r="D120" i="1"/>
  <c r="D496" i="1"/>
  <c r="D634" i="1"/>
  <c r="D154" i="1"/>
  <c r="D839" i="1"/>
  <c r="D182" i="1"/>
  <c r="D155" i="1"/>
  <c r="D717" i="1"/>
  <c r="D342" i="1"/>
  <c r="D205" i="1"/>
  <c r="D322" i="1"/>
  <c r="D542" i="1"/>
  <c r="D696" i="1"/>
  <c r="D323" i="1"/>
  <c r="D497" i="1"/>
  <c r="D661" i="1"/>
  <c r="D324" i="1"/>
  <c r="D15" i="1"/>
  <c r="D968" i="1"/>
  <c r="D718" i="1"/>
  <c r="D156" i="1"/>
  <c r="D157" i="1"/>
  <c r="D183" i="1"/>
  <c r="D880" i="1"/>
  <c r="D881" i="1"/>
  <c r="D947" i="1"/>
  <c r="D854" i="1"/>
  <c r="D840" i="1"/>
  <c r="D121" i="1"/>
  <c r="D697" i="1"/>
  <c r="D16" i="1"/>
  <c r="D405" i="1"/>
  <c r="D325" i="1"/>
  <c r="D386" i="1"/>
  <c r="D184" i="1"/>
  <c r="D447" i="1"/>
  <c r="D250" i="1"/>
  <c r="D406" i="1"/>
  <c r="D206" i="1"/>
  <c r="D326" i="1"/>
  <c r="D229" i="1"/>
  <c r="D448" i="1"/>
  <c r="D327" i="1"/>
  <c r="D928" i="1"/>
  <c r="D568" i="1"/>
  <c r="D969" i="1"/>
  <c r="D797" i="1"/>
  <c r="D905" i="1"/>
  <c r="D798" i="1"/>
  <c r="D328" i="1"/>
  <c r="D207" i="1"/>
  <c r="D737" i="1"/>
  <c r="D364" i="1"/>
  <c r="D17" i="1"/>
  <c r="D251" i="1"/>
  <c r="D59" i="1"/>
  <c r="D521" i="1"/>
  <c r="D698" i="1"/>
  <c r="D407" i="1"/>
  <c r="D841" i="1"/>
  <c r="D906" i="1"/>
  <c r="D408" i="1"/>
  <c r="D18" i="1"/>
  <c r="D929" i="1"/>
  <c r="D755" i="1"/>
  <c r="D60" i="1"/>
  <c r="D970" i="1"/>
  <c r="D449" i="1"/>
  <c r="D365" i="1"/>
  <c r="D252" i="1"/>
  <c r="D253" i="1"/>
  <c r="D472" i="1"/>
  <c r="D100" i="1"/>
  <c r="D450" i="1"/>
  <c r="D907" i="1"/>
  <c r="D604" i="1"/>
  <c r="D778" i="1"/>
  <c r="D799" i="1"/>
  <c r="D158" i="1"/>
  <c r="D208" i="1"/>
  <c r="D882" i="1"/>
  <c r="D842" i="1"/>
  <c r="D543" i="1"/>
  <c r="D19" i="1"/>
  <c r="D473" i="1"/>
  <c r="D37" i="1"/>
  <c r="D101" i="1"/>
  <c r="D756" i="1"/>
  <c r="D474" i="1"/>
  <c r="D738" i="1"/>
  <c r="D159" i="1"/>
  <c r="D635" i="1"/>
  <c r="D498" i="1"/>
  <c r="D329" i="1"/>
  <c r="D20" i="1"/>
  <c r="D160" i="1"/>
  <c r="D102" i="1"/>
  <c r="D757" i="1"/>
  <c r="D83" i="1"/>
  <c r="D254" i="1"/>
  <c r="D930" i="1"/>
  <c r="D908" i="1"/>
  <c r="D230" i="1"/>
  <c r="D843" i="1"/>
  <c r="D122" i="1"/>
  <c r="D433" i="1"/>
  <c r="D366" i="1"/>
  <c r="D818" i="1"/>
  <c r="D409" i="1"/>
  <c r="D719" i="1"/>
  <c r="D161" i="1"/>
  <c r="D139" i="1"/>
  <c r="D569" i="1"/>
  <c r="D779" i="1"/>
  <c r="D544" i="1"/>
  <c r="D991" i="1"/>
  <c r="D38" i="1"/>
  <c r="D231" i="1"/>
  <c r="D586" i="1"/>
  <c r="D475" i="1"/>
  <c r="D39" i="1"/>
  <c r="D255" i="1"/>
  <c r="D545" i="1"/>
  <c r="D992" i="1"/>
  <c r="D162" i="1"/>
  <c r="D699" i="1"/>
  <c r="D587" i="1"/>
  <c r="D21" i="1"/>
  <c r="D819" i="1"/>
  <c r="D820" i="1"/>
  <c r="D800" i="1"/>
  <c r="D476" i="1"/>
  <c r="D140" i="1"/>
  <c r="D271" i="1"/>
  <c r="D499" i="1"/>
  <c r="D477" i="1"/>
  <c r="D780" i="1"/>
  <c r="D209" i="1"/>
  <c r="D971" i="1"/>
  <c r="D855" i="1"/>
  <c r="D636" i="1"/>
  <c r="D451" i="1"/>
  <c r="D296" i="1"/>
  <c r="D452" i="1"/>
  <c r="D662" i="1"/>
  <c r="D103" i="1"/>
  <c r="D84" i="1"/>
  <c r="D522" i="1"/>
  <c r="D500" i="1"/>
  <c r="D856" i="1"/>
  <c r="D883" i="1"/>
  <c r="D523" i="1"/>
  <c r="D330" i="1"/>
  <c r="D410" i="1"/>
  <c r="D104" i="1"/>
  <c r="D570" i="1"/>
  <c r="D478" i="1"/>
  <c r="D434" i="1"/>
  <c r="D588" i="1"/>
  <c r="D857" i="1"/>
  <c r="D663" i="1"/>
  <c r="D605" i="1"/>
  <c r="D141" i="1"/>
  <c r="D606" i="1"/>
  <c r="D571" i="1"/>
  <c r="D435" i="1"/>
  <c r="D163" i="1"/>
  <c r="D858" i="1"/>
  <c r="D993" i="1"/>
  <c r="D343" i="1"/>
  <c r="D739" i="1"/>
  <c r="D387" i="1"/>
  <c r="D546" i="1"/>
  <c r="D618" i="1"/>
  <c r="D344" i="1"/>
  <c r="D388" i="1"/>
  <c r="D411" i="1"/>
  <c r="D61" i="1"/>
  <c r="D412" i="1"/>
  <c r="D389" i="1"/>
  <c r="D680" i="1"/>
  <c r="D164" i="1"/>
  <c r="D619" i="1"/>
  <c r="D637" i="1"/>
  <c r="D994" i="1"/>
  <c r="D720" i="1"/>
  <c r="D22" i="1"/>
  <c r="D972" i="1"/>
  <c r="D436" i="1"/>
  <c r="D390" i="1"/>
  <c r="D210" i="1"/>
  <c r="D931" i="1"/>
  <c r="D995" i="1"/>
  <c r="D844" i="1"/>
  <c r="D413" i="1"/>
  <c r="D185" i="1"/>
  <c r="D948" i="1"/>
  <c r="D345" i="1"/>
  <c r="D801" i="1"/>
  <c r="D802" i="1"/>
  <c r="D620" i="1"/>
  <c r="D40" i="1"/>
  <c r="D297" i="1"/>
  <c r="D331" i="1"/>
  <c r="D547" i="1"/>
  <c r="D437" i="1"/>
  <c r="D346" i="1"/>
  <c r="D859" i="1"/>
  <c r="D414" i="1"/>
  <c r="D845" i="1"/>
  <c r="D996" i="1"/>
  <c r="D949" i="1"/>
  <c r="D524" i="1"/>
  <c r="D548" i="1"/>
  <c r="D846" i="1"/>
  <c r="D23" i="1"/>
  <c r="D232" i="1"/>
  <c r="D950" i="1"/>
  <c r="D332" i="1"/>
  <c r="D438" i="1"/>
  <c r="D24" i="1"/>
  <c r="D847" i="1"/>
  <c r="D298" i="1"/>
  <c r="D272" i="1"/>
  <c r="D347" i="1"/>
  <c r="D525" i="1"/>
  <c r="D721" i="1"/>
  <c r="D348" i="1"/>
  <c r="D41" i="1"/>
  <c r="D105" i="1"/>
  <c r="D681" i="1"/>
  <c r="D932" i="1"/>
  <c r="D233" i="1"/>
  <c r="D589" i="1"/>
  <c r="D722" i="1"/>
  <c r="D367" i="1"/>
  <c r="D638" i="1"/>
  <c r="D860" i="1"/>
  <c r="D803" i="1"/>
  <c r="D861" i="1"/>
  <c r="D333" i="1"/>
  <c r="D549" i="1"/>
  <c r="D590" i="1"/>
  <c r="D621" i="1"/>
  <c r="D622" i="1"/>
  <c r="D256" i="1"/>
  <c r="D415" i="1"/>
  <c r="D639" i="1"/>
  <c r="D973" i="1"/>
  <c r="D997" i="1"/>
  <c r="D25" i="1"/>
  <c r="D909" i="1"/>
  <c r="D607" i="1"/>
  <c r="D781" i="1"/>
  <c r="D123" i="1"/>
  <c r="D974" i="1"/>
  <c r="D951" i="1"/>
  <c r="D550" i="1"/>
  <c r="D758" i="1"/>
  <c r="D608" i="1"/>
  <c r="D910" i="1"/>
  <c r="D234" i="1"/>
  <c r="D211" i="1"/>
  <c r="D391" i="1"/>
  <c r="D821" i="1"/>
  <c r="D299" i="1"/>
  <c r="D85" i="1"/>
  <c r="D273" i="1"/>
  <c r="D572" i="1"/>
  <c r="D86" i="1"/>
  <c r="D526" i="1"/>
  <c r="D664" i="1"/>
  <c r="D804" i="1"/>
  <c r="D392" i="1"/>
  <c r="D42" i="1"/>
  <c r="D551" i="1"/>
  <c r="D349" i="1"/>
  <c r="D665" i="1"/>
  <c r="D666" i="1"/>
  <c r="D723" i="1"/>
  <c r="D822" i="1"/>
  <c r="D165" i="1"/>
  <c r="D975" i="1"/>
  <c r="D62" i="1"/>
  <c r="D501" i="1"/>
  <c r="D186" i="1"/>
  <c r="D823" i="1"/>
  <c r="D573" i="1"/>
  <c r="D106" i="1"/>
  <c r="D43" i="1"/>
  <c r="D933" i="1"/>
  <c r="D479" i="1"/>
  <c r="D416" i="1"/>
  <c r="D63" i="1"/>
  <c r="D300" i="1"/>
  <c r="D552" i="1"/>
  <c r="D235" i="1"/>
  <c r="D782" i="1"/>
  <c r="D884" i="1"/>
  <c r="D640" i="1"/>
  <c r="D591" i="1"/>
  <c r="D124" i="1"/>
  <c r="D257" i="1"/>
  <c r="D142" i="1"/>
  <c r="D212" i="1"/>
  <c r="D301" i="1"/>
  <c r="D667" i="1"/>
  <c r="D236" i="1"/>
  <c r="D502" i="1"/>
  <c r="D213" i="1"/>
  <c r="D759" i="1"/>
  <c r="D553" i="1"/>
  <c r="D125" i="1"/>
  <c r="D574" i="1"/>
  <c r="D592" i="1"/>
  <c r="D453" i="1"/>
  <c r="D368" i="1"/>
  <c r="D885" i="1"/>
  <c r="D454" i="1"/>
  <c r="D166" i="1"/>
  <c r="D302" i="1"/>
  <c r="D760" i="1"/>
  <c r="D64" i="1"/>
  <c r="D862" i="1"/>
  <c r="D805" i="1"/>
  <c r="D65" i="1"/>
  <c r="D668" i="1"/>
  <c r="D480" i="1"/>
  <c r="D593" i="1"/>
  <c r="D439" i="1"/>
  <c r="D44" i="1"/>
  <c r="D976" i="1"/>
  <c r="D107" i="1"/>
  <c r="D998" i="1"/>
  <c r="D258" i="1"/>
  <c r="D481" i="1"/>
  <c r="D417" i="1"/>
  <c r="D594" i="1"/>
  <c r="D783" i="1"/>
  <c r="D167" i="1"/>
  <c r="D784" i="1"/>
  <c r="D259" i="1"/>
  <c r="D187" i="1"/>
  <c r="D168" i="1"/>
  <c r="D274" i="1"/>
  <c r="D303" i="1"/>
  <c r="D26" i="1"/>
  <c r="D527" i="1"/>
  <c r="D575" i="1"/>
  <c r="D911" i="1"/>
  <c r="D334" i="1"/>
  <c r="D260" i="1"/>
  <c r="D27" i="1"/>
  <c r="D609" i="1"/>
  <c r="D623" i="1"/>
  <c r="D275" i="1"/>
  <c r="D108" i="1"/>
  <c r="D669" i="1"/>
  <c r="D66" i="1"/>
  <c r="D109" i="1"/>
  <c r="D304" i="1"/>
  <c r="D824" i="1"/>
  <c r="D482" i="1"/>
  <c r="D977" i="1"/>
  <c r="D825" i="1"/>
  <c r="D826" i="1"/>
  <c r="D169" i="1"/>
  <c r="D670" i="1"/>
  <c r="D999" i="1"/>
  <c r="D503" i="1"/>
  <c r="D110" i="1"/>
  <c r="D170" i="1"/>
  <c r="D126" i="1"/>
  <c r="D504" i="1"/>
  <c r="D188" i="1"/>
  <c r="D276" i="1"/>
  <c r="D952" i="1"/>
  <c r="D237" i="1"/>
  <c r="D87" i="1"/>
  <c r="D88" i="1"/>
  <c r="D393" i="1"/>
  <c r="D214" i="1"/>
  <c r="D305" i="1"/>
  <c r="D761" i="1"/>
  <c r="D624" i="1"/>
  <c r="D238" i="1"/>
  <c r="D89" i="1"/>
  <c r="D671" i="1"/>
  <c r="D806" i="1"/>
  <c r="D28" i="1"/>
  <c r="D762" i="1"/>
  <c r="D682" i="1"/>
  <c r="D528" i="1"/>
  <c r="D625" i="1"/>
  <c r="D848" i="1"/>
  <c r="D369" i="1"/>
  <c r="D595" i="1"/>
  <c r="D672" i="1"/>
  <c r="D554" i="1"/>
  <c r="D239" i="1"/>
  <c r="D683" i="1"/>
  <c r="D886" i="1"/>
  <c r="D849" i="1"/>
  <c r="D505" i="1"/>
  <c r="D641" i="1"/>
  <c r="D506" i="1"/>
  <c r="D763" i="1"/>
  <c r="D700" i="1"/>
  <c r="D483" i="1"/>
  <c r="D143" i="1"/>
  <c r="D67" i="1"/>
  <c r="D484" i="1"/>
  <c r="D29" i="1"/>
  <c r="D350" i="1"/>
  <c r="D807" i="1"/>
  <c r="D684" i="1"/>
  <c r="D863" i="1"/>
  <c r="D673" i="1"/>
  <c r="D555" i="1"/>
  <c r="D485" i="1"/>
  <c r="D596" i="1"/>
  <c r="D576" i="1"/>
  <c r="D864" i="1"/>
  <c r="D724" i="1"/>
  <c r="D701" i="1"/>
  <c r="D865" i="1"/>
  <c r="D827" i="1"/>
  <c r="D850" i="1"/>
  <c r="D556" i="1"/>
  <c r="D418" i="1"/>
  <c r="D642" i="1"/>
  <c r="D370" i="1"/>
  <c r="D394" i="1"/>
  <c r="D189" i="1"/>
  <c r="D277" i="1"/>
  <c r="D643" i="1"/>
  <c r="D127" i="1"/>
  <c r="D190" i="1"/>
  <c r="D674" i="1"/>
  <c r="D725" i="1"/>
  <c r="D371" i="1"/>
  <c r="D529" i="1"/>
  <c r="D278" i="1"/>
  <c r="D90" i="1"/>
  <c r="D68" i="1"/>
  <c r="D306" i="1"/>
  <c r="D953" i="1"/>
  <c r="D240" i="1"/>
  <c r="D111" i="1"/>
  <c r="D171" i="1"/>
  <c r="D486" i="1"/>
  <c r="D557" i="1"/>
  <c r="D91" i="1"/>
  <c r="D191" i="1"/>
  <c r="D702" i="1"/>
  <c r="D934" i="1"/>
  <c r="D419" i="1"/>
  <c r="D577" i="1"/>
  <c r="D507" i="1"/>
  <c r="D740" i="1"/>
  <c r="D644" i="1"/>
  <c r="D335" i="1"/>
  <c r="D685" i="1"/>
  <c r="D69" i="1"/>
  <c r="D128" i="1"/>
  <c r="D92" i="1"/>
  <c r="D978" i="1"/>
  <c r="D279" i="1"/>
  <c r="D129" i="1"/>
  <c r="D307" i="1"/>
  <c r="D395" i="1"/>
  <c r="D741" i="1"/>
  <c r="D742" i="1"/>
  <c r="D645" i="1"/>
  <c r="D351" i="1"/>
  <c r="D352" i="1"/>
  <c r="D280" i="1"/>
  <c r="D192" i="1"/>
  <c r="D45" i="1"/>
  <c r="D420" i="1"/>
  <c r="D421" i="1"/>
  <c r="D93" i="1"/>
  <c r="D686" i="1"/>
  <c r="D94" i="1"/>
  <c r="D30" i="1"/>
  <c r="D808" i="1"/>
  <c r="D396" i="1"/>
  <c r="D508" i="1"/>
  <c r="D193" i="1"/>
  <c r="D610" i="1"/>
  <c r="D912" i="1"/>
  <c r="D1000" i="1"/>
  <c r="D397" i="1"/>
  <c r="D954" i="1"/>
  <c r="D70" i="1"/>
  <c r="D726" i="1"/>
  <c r="D398" i="1"/>
  <c r="D935" i="1"/>
  <c r="D646" i="1"/>
  <c r="D241" i="1"/>
  <c r="D509" i="1"/>
  <c r="D1001" i="1"/>
  <c r="D46" i="1"/>
  <c r="D703" i="1"/>
  <c r="D828" i="1"/>
  <c r="D704" i="1"/>
  <c r="D530" i="1"/>
  <c r="D936" i="1"/>
  <c r="D764" i="1"/>
  <c r="D242" i="1"/>
  <c r="D243" i="1"/>
  <c r="D112" i="1"/>
  <c r="D887" i="1"/>
  <c r="D194" i="1"/>
  <c r="D47" i="1"/>
  <c r="D531" i="1"/>
  <c r="D785" i="1"/>
  <c r="D743" i="1"/>
  <c r="D308" i="1"/>
  <c r="D510" i="1"/>
  <c r="D866" i="1"/>
  <c r="D937" i="1"/>
  <c r="D851" i="1"/>
  <c r="D611" i="1"/>
  <c r="D422" i="1"/>
  <c r="D71" i="1"/>
  <c r="D48" i="1"/>
  <c r="D809" i="1"/>
  <c r="D113" i="1"/>
  <c r="D309" i="1"/>
  <c r="D487" i="1"/>
  <c r="D144" i="1"/>
  <c r="D955" i="1"/>
  <c r="D888" i="1"/>
  <c r="D913" i="1"/>
  <c r="D914" i="1"/>
  <c r="D31" i="1"/>
  <c r="D558" i="1"/>
  <c r="D829" i="1"/>
  <c r="D281" i="1"/>
  <c r="D612" i="1"/>
  <c r="D130" i="1"/>
  <c r="D282" i="1"/>
  <c r="D647" i="1"/>
  <c r="D675" i="1"/>
  <c r="D532" i="1"/>
  <c r="D956" i="1"/>
  <c r="D353" i="1"/>
  <c r="D283" i="1"/>
  <c r="D215" i="1"/>
  <c r="D744" i="1"/>
  <c r="D32" i="1"/>
  <c r="D511" i="1"/>
  <c r="D830" i="1"/>
  <c r="D938" i="1"/>
  <c r="D727" i="1"/>
  <c r="D244" i="1"/>
  <c r="D310" i="1"/>
  <c r="D786" i="1"/>
  <c r="D145" i="1"/>
  <c r="D957" i="1"/>
  <c r="D440" i="1"/>
  <c r="D423" i="1"/>
  <c r="D831" i="1"/>
  <c r="D958" i="1"/>
  <c r="D512" i="1"/>
  <c r="D311" i="1"/>
  <c r="D765" i="1"/>
  <c r="D131" i="1"/>
  <c r="D832" i="1"/>
  <c r="D705" i="1"/>
  <c r="D172" i="1"/>
  <c r="D513" i="1"/>
  <c r="D915" i="1"/>
  <c r="D787" i="1"/>
  <c r="D312" i="1"/>
  <c r="D533" i="1"/>
  <c r="D706" i="1"/>
  <c r="D216" i="1"/>
  <c r="D852" i="1"/>
  <c r="D916" i="1"/>
  <c r="D488" i="1"/>
  <c r="D648" i="1"/>
  <c r="D889" i="1"/>
  <c r="D245" i="1"/>
  <c r="D745" i="1"/>
  <c r="D441" i="1"/>
  <c r="D917" i="1"/>
  <c r="D746" i="1"/>
  <c r="D676" i="1"/>
  <c r="D173" i="1"/>
  <c r="D72" i="1"/>
  <c r="D354" i="1"/>
  <c r="D424" i="1"/>
  <c r="D959" i="1"/>
  <c r="D174" i="1"/>
  <c r="D313" i="1"/>
  <c r="D175" i="1"/>
  <c r="D455" i="1"/>
  <c r="D747" i="1"/>
  <c r="D73" i="1"/>
  <c r="D336" i="1"/>
  <c r="D890" i="1"/>
  <c r="D534" i="1"/>
  <c r="D626" i="1"/>
  <c r="D687" i="1"/>
  <c r="D176" i="1"/>
  <c r="D442" i="1"/>
  <c r="D337" i="1"/>
  <c r="D146" i="1"/>
  <c r="D748" i="1"/>
  <c r="D114" i="1"/>
  <c r="D74" i="1"/>
  <c r="D514" i="1"/>
  <c r="D132" i="1"/>
  <c r="D261" i="1"/>
  <c r="D456" i="1"/>
  <c r="D217" i="1"/>
  <c r="D867" i="1"/>
  <c r="D918" i="1"/>
  <c r="D115" i="1"/>
  <c r="D75" i="1"/>
  <c r="D372" i="1"/>
  <c r="D559" i="1"/>
  <c r="D133" i="1"/>
  <c r="D810" i="1"/>
  <c r="D355" i="1"/>
  <c r="D116" i="1"/>
  <c r="D399" i="1"/>
  <c r="D195" i="1"/>
  <c r="D373" i="1"/>
  <c r="D649" i="1"/>
  <c r="D262" i="1"/>
  <c r="D979" i="1"/>
  <c r="D728" i="1"/>
  <c r="D749" i="1"/>
  <c r="D425" i="1"/>
  <c r="D766" i="1"/>
  <c r="D196" i="1"/>
  <c r="D980" i="1"/>
  <c r="D356" i="1"/>
  <c r="D750" i="1"/>
  <c r="D49" i="1"/>
  <c r="D457" i="1"/>
  <c r="D147" i="1"/>
  <c r="D677" i="1"/>
  <c r="D177" i="1"/>
  <c r="D374" i="1"/>
  <c r="D314" i="1"/>
  <c r="D535" i="1"/>
  <c r="D76" i="1"/>
  <c r="D284" i="1"/>
  <c r="D891" i="1"/>
  <c r="D627" i="1"/>
  <c r="D400" i="1"/>
  <c r="E811" i="1"/>
  <c r="E315" i="1"/>
  <c r="E597" i="1"/>
  <c r="E729" i="1"/>
  <c r="E426" i="1"/>
  <c r="E401" i="1"/>
  <c r="E730" i="1"/>
  <c r="E33" i="1"/>
  <c r="E263" i="1"/>
  <c r="E868" i="1"/>
  <c r="E628" i="1"/>
  <c r="E892" i="1"/>
  <c r="E2" i="1"/>
  <c r="E489" i="1"/>
  <c r="E960" i="1"/>
  <c r="E788" i="1"/>
  <c r="E375" i="1"/>
  <c r="E50" i="1"/>
  <c r="E893" i="1"/>
  <c r="E316" i="1"/>
  <c r="E981" i="1"/>
  <c r="E629" i="1"/>
  <c r="E338" i="1"/>
  <c r="E3" i="1"/>
  <c r="E767" i="1"/>
  <c r="E578" i="1"/>
  <c r="E458" i="1"/>
  <c r="E490" i="1"/>
  <c r="E560" i="1"/>
  <c r="E443" i="1"/>
  <c r="E731" i="1"/>
  <c r="E317" i="1"/>
  <c r="E285" i="1"/>
  <c r="E134" i="1"/>
  <c r="E264" i="1"/>
  <c r="E982" i="1"/>
  <c r="E579" i="1"/>
  <c r="E869" i="1"/>
  <c r="E427" i="1"/>
  <c r="E651" i="1"/>
  <c r="E894" i="1"/>
  <c r="E357" i="1"/>
  <c r="E895" i="1"/>
  <c r="E197" i="1"/>
  <c r="E939" i="1"/>
  <c r="E536" i="1"/>
  <c r="E218" i="1"/>
  <c r="E219" i="1"/>
  <c r="E789" i="1"/>
  <c r="E790" i="1"/>
  <c r="E613" i="1"/>
  <c r="E652" i="1"/>
  <c r="E580" i="1"/>
  <c r="E707" i="1"/>
  <c r="E812" i="1"/>
  <c r="E34" i="1"/>
  <c r="E983" i="1"/>
  <c r="E51" i="1"/>
  <c r="E732" i="1"/>
  <c r="E919" i="1"/>
  <c r="E984" i="1"/>
  <c r="E148" i="1"/>
  <c r="E339" i="1"/>
  <c r="E286" i="1"/>
  <c r="E428" i="1"/>
  <c r="E358" i="1"/>
  <c r="E833" i="1"/>
  <c r="E178" i="1"/>
  <c r="E459" i="1"/>
  <c r="E287" i="1"/>
  <c r="E940" i="1"/>
  <c r="E751" i="1"/>
  <c r="E985" i="1"/>
  <c r="E77" i="1"/>
  <c r="E896" i="1"/>
  <c r="E376" i="1"/>
  <c r="E377" i="1"/>
  <c r="E653" i="1"/>
  <c r="E4" i="1"/>
  <c r="E537" i="1"/>
  <c r="E688" i="1"/>
  <c r="E220" i="1"/>
  <c r="E581" i="1"/>
  <c r="E708" i="1"/>
  <c r="E961" i="1"/>
  <c r="E768" i="1"/>
  <c r="E179" i="1"/>
  <c r="E198" i="1"/>
  <c r="E288" i="1"/>
  <c r="E199" i="1"/>
  <c r="E289" i="1"/>
  <c r="E630" i="1"/>
  <c r="E378" i="1"/>
  <c r="E689" i="1"/>
  <c r="E444" i="1"/>
  <c r="E290" i="1"/>
  <c r="E200" i="1"/>
  <c r="E318" i="1"/>
  <c r="E515" i="1"/>
  <c r="E690" i="1"/>
  <c r="E379" i="1"/>
  <c r="E117" i="1"/>
  <c r="E654" i="1"/>
  <c r="E897" i="1"/>
  <c r="E402" i="1"/>
  <c r="E920" i="1"/>
  <c r="E791" i="1"/>
  <c r="E655" i="1"/>
  <c r="E792" i="1"/>
  <c r="E656" i="1"/>
  <c r="E598" i="1"/>
  <c r="E516" i="1"/>
  <c r="E898" i="1"/>
  <c r="E291" i="1"/>
  <c r="E870" i="1"/>
  <c r="E962" i="1"/>
  <c r="E733" i="1"/>
  <c r="E95" i="1"/>
  <c r="E96" i="1"/>
  <c r="E769" i="1"/>
  <c r="E5" i="1"/>
  <c r="E538" i="1"/>
  <c r="E678" i="1"/>
  <c r="E359" i="1"/>
  <c r="E770" i="1"/>
  <c r="E679" i="1"/>
  <c r="E834" i="1"/>
  <c r="E921" i="1"/>
  <c r="E149" i="1"/>
  <c r="E922" i="1"/>
  <c r="E491" i="1"/>
  <c r="E941" i="1"/>
  <c r="E340" i="1"/>
  <c r="E942" i="1"/>
  <c r="E445" i="1"/>
  <c r="E403" i="1"/>
  <c r="E341" i="1"/>
  <c r="E614" i="1"/>
  <c r="E582" i="1"/>
  <c r="E899" i="1"/>
  <c r="E631" i="1"/>
  <c r="E429" i="1"/>
  <c r="E118" i="1"/>
  <c r="E561" i="1"/>
  <c r="E583" i="1"/>
  <c r="E871" i="1"/>
  <c r="E986" i="1"/>
  <c r="E900" i="1"/>
  <c r="E135" i="1"/>
  <c r="E752" i="1"/>
  <c r="E460" i="1"/>
  <c r="E35" i="1"/>
  <c r="E292" i="1"/>
  <c r="E709" i="1"/>
  <c r="E461" i="1"/>
  <c r="E52" i="1"/>
  <c r="E446" i="1"/>
  <c r="E813" i="1"/>
  <c r="E462" i="1"/>
  <c r="E6" i="1"/>
  <c r="E562" i="1"/>
  <c r="E7" i="1"/>
  <c r="E380" i="1"/>
  <c r="E97" i="1"/>
  <c r="E657" i="1"/>
  <c r="E463" i="1"/>
  <c r="E246" i="1"/>
  <c r="E987" i="1"/>
  <c r="E835" i="1"/>
  <c r="E265" i="1"/>
  <c r="E691" i="1"/>
  <c r="E8" i="1"/>
  <c r="E563" i="1"/>
  <c r="E710" i="1"/>
  <c r="E464" i="1"/>
  <c r="E430" i="1"/>
  <c r="E539" i="1"/>
  <c r="E711" i="1"/>
  <c r="E517" i="1"/>
  <c r="E963" i="1"/>
  <c r="E53" i="1"/>
  <c r="E465" i="1"/>
  <c r="E712" i="1"/>
  <c r="E853" i="1"/>
  <c r="E943" i="1"/>
  <c r="E9" i="1"/>
  <c r="E540" i="1"/>
  <c r="E36" i="1"/>
  <c r="E98" i="1"/>
  <c r="E10" i="1"/>
  <c r="E54" i="1"/>
  <c r="E632" i="1"/>
  <c r="E201" i="1"/>
  <c r="E266" i="1"/>
  <c r="E692" i="1"/>
  <c r="E492" i="1"/>
  <c r="E221" i="1"/>
  <c r="E431" i="1"/>
  <c r="E793" i="1"/>
  <c r="E180" i="1"/>
  <c r="E658" i="1"/>
  <c r="E181" i="1"/>
  <c r="E564" i="1"/>
  <c r="E466" i="1"/>
  <c r="E78" i="1"/>
  <c r="E493" i="1"/>
  <c r="E659" i="1"/>
  <c r="E734" i="1"/>
  <c r="E599" i="1"/>
  <c r="E494" i="1"/>
  <c r="E923" i="1"/>
  <c r="E794" i="1"/>
  <c r="E944" i="1"/>
  <c r="E136" i="1"/>
  <c r="E55" i="1"/>
  <c r="E633" i="1"/>
  <c r="E11" i="1"/>
  <c r="E247" i="1"/>
  <c r="E12" i="1"/>
  <c r="E565" i="1"/>
  <c r="E293" i="1"/>
  <c r="E13" i="1"/>
  <c r="E836" i="1"/>
  <c r="E150" i="1"/>
  <c r="E79" i="1"/>
  <c r="E615" i="1"/>
  <c r="E119" i="1"/>
  <c r="E137" i="1"/>
  <c r="E222" i="1"/>
  <c r="E872" i="1"/>
  <c r="E467" i="1"/>
  <c r="E294" i="1"/>
  <c r="E56" i="1"/>
  <c r="E873" i="1"/>
  <c r="E223" i="1"/>
  <c r="E319" i="1"/>
  <c r="E566" i="1"/>
  <c r="E584" i="1"/>
  <c r="E874" i="1"/>
  <c r="E875" i="1"/>
  <c r="E924" i="1"/>
  <c r="E381" i="1"/>
  <c r="E771" i="1"/>
  <c r="E382" i="1"/>
  <c r="E360" i="1"/>
  <c r="E518" i="1"/>
  <c r="E814" i="1"/>
  <c r="E945" i="1"/>
  <c r="E361" i="1"/>
  <c r="E151" i="1"/>
  <c r="E224" i="1"/>
  <c r="E248" i="1"/>
  <c r="E519" i="1"/>
  <c r="E362" i="1"/>
  <c r="E876" i="1"/>
  <c r="E964" i="1"/>
  <c r="E600" i="1"/>
  <c r="E432" i="1"/>
  <c r="E772" i="1"/>
  <c r="E925" i="1"/>
  <c r="E693" i="1"/>
  <c r="E877" i="1"/>
  <c r="E383" i="1"/>
  <c r="E202" i="1"/>
  <c r="E965" i="1"/>
  <c r="E694" i="1"/>
  <c r="E773" i="1"/>
  <c r="E837" i="1"/>
  <c r="E468" i="1"/>
  <c r="E57" i="1"/>
  <c r="E80" i="1"/>
  <c r="E901" i="1"/>
  <c r="E878" i="1"/>
  <c r="E469" i="1"/>
  <c r="E926" i="1"/>
  <c r="E616" i="1"/>
  <c r="E601" i="1"/>
  <c r="E320" i="1"/>
  <c r="E602" i="1"/>
  <c r="E753" i="1"/>
  <c r="E14" i="1"/>
  <c r="E988" i="1"/>
  <c r="E470" i="1"/>
  <c r="E713" i="1"/>
  <c r="E203" i="1"/>
  <c r="E225" i="1"/>
  <c r="E774" i="1"/>
  <c r="E249" i="1"/>
  <c r="E735" i="1"/>
  <c r="E99" i="1"/>
  <c r="E946" i="1"/>
  <c r="E321" i="1"/>
  <c r="E879" i="1"/>
  <c r="E795" i="1"/>
  <c r="E902" i="1"/>
  <c r="E541" i="1"/>
  <c r="E796" i="1"/>
  <c r="E81" i="1"/>
  <c r="E966" i="1"/>
  <c r="E736" i="1"/>
  <c r="E152" i="1"/>
  <c r="E967" i="1"/>
  <c r="E603" i="1"/>
  <c r="E989" i="1"/>
  <c r="E226" i="1"/>
  <c r="E815" i="1"/>
  <c r="E660" i="1"/>
  <c r="E816" i="1"/>
  <c r="E775" i="1"/>
  <c r="E695" i="1"/>
  <c r="E520" i="1"/>
  <c r="E204" i="1"/>
  <c r="E267" i="1"/>
  <c r="E384" i="1"/>
  <c r="E363" i="1"/>
  <c r="E903" i="1"/>
  <c r="E82" i="1"/>
  <c r="E714" i="1"/>
  <c r="E776" i="1"/>
  <c r="E817" i="1"/>
  <c r="E295" i="1"/>
  <c r="E754" i="1"/>
  <c r="E268" i="1"/>
  <c r="E269" i="1"/>
  <c r="E990" i="1"/>
  <c r="E153" i="1"/>
  <c r="E567" i="1"/>
  <c r="E404" i="1"/>
  <c r="E838" i="1"/>
  <c r="E777" i="1"/>
  <c r="E138" i="1"/>
  <c r="E227" i="1"/>
  <c r="E715" i="1"/>
  <c r="E385" i="1"/>
  <c r="E270" i="1"/>
  <c r="E585" i="1"/>
  <c r="E228" i="1"/>
  <c r="E904" i="1"/>
  <c r="E617" i="1"/>
  <c r="E716" i="1"/>
  <c r="E471" i="1"/>
  <c r="E927" i="1"/>
  <c r="E495" i="1"/>
  <c r="E58" i="1"/>
  <c r="E120" i="1"/>
  <c r="E496" i="1"/>
  <c r="E634" i="1"/>
  <c r="E154" i="1"/>
  <c r="E839" i="1"/>
  <c r="E182" i="1"/>
  <c r="E155" i="1"/>
  <c r="E717" i="1"/>
  <c r="E342" i="1"/>
  <c r="E205" i="1"/>
  <c r="E322" i="1"/>
  <c r="E542" i="1"/>
  <c r="E696" i="1"/>
  <c r="E323" i="1"/>
  <c r="E497" i="1"/>
  <c r="E661" i="1"/>
  <c r="E324" i="1"/>
  <c r="E15" i="1"/>
  <c r="E968" i="1"/>
  <c r="E718" i="1"/>
  <c r="E156" i="1"/>
  <c r="E157" i="1"/>
  <c r="E183" i="1"/>
  <c r="E880" i="1"/>
  <c r="E881" i="1"/>
  <c r="E947" i="1"/>
  <c r="E854" i="1"/>
  <c r="E840" i="1"/>
  <c r="E121" i="1"/>
  <c r="E697" i="1"/>
  <c r="E16" i="1"/>
  <c r="E405" i="1"/>
  <c r="E325" i="1"/>
  <c r="E386" i="1"/>
  <c r="E184" i="1"/>
  <c r="E447" i="1"/>
  <c r="E250" i="1"/>
  <c r="E406" i="1"/>
  <c r="E206" i="1"/>
  <c r="E326" i="1"/>
  <c r="E229" i="1"/>
  <c r="E448" i="1"/>
  <c r="E327" i="1"/>
  <c r="E928" i="1"/>
  <c r="E568" i="1"/>
  <c r="E969" i="1"/>
  <c r="E797" i="1"/>
  <c r="E905" i="1"/>
  <c r="E798" i="1"/>
  <c r="E328" i="1"/>
  <c r="E207" i="1"/>
  <c r="E737" i="1"/>
  <c r="E364" i="1"/>
  <c r="E17" i="1"/>
  <c r="E251" i="1"/>
  <c r="E59" i="1"/>
  <c r="E521" i="1"/>
  <c r="E698" i="1"/>
  <c r="E407" i="1"/>
  <c r="E841" i="1"/>
  <c r="E906" i="1"/>
  <c r="E408" i="1"/>
  <c r="E18" i="1"/>
  <c r="E929" i="1"/>
  <c r="E755" i="1"/>
  <c r="E60" i="1"/>
  <c r="E970" i="1"/>
  <c r="E449" i="1"/>
  <c r="E365" i="1"/>
  <c r="E252" i="1"/>
  <c r="E253" i="1"/>
  <c r="E472" i="1"/>
  <c r="E100" i="1"/>
  <c r="E450" i="1"/>
  <c r="E907" i="1"/>
  <c r="E604" i="1"/>
  <c r="E778" i="1"/>
  <c r="E799" i="1"/>
  <c r="E158" i="1"/>
  <c r="E208" i="1"/>
  <c r="E882" i="1"/>
  <c r="E842" i="1"/>
  <c r="E543" i="1"/>
  <c r="E19" i="1"/>
  <c r="E473" i="1"/>
  <c r="E37" i="1"/>
  <c r="E101" i="1"/>
  <c r="E756" i="1"/>
  <c r="E474" i="1"/>
  <c r="E738" i="1"/>
  <c r="E159" i="1"/>
  <c r="E635" i="1"/>
  <c r="E498" i="1"/>
  <c r="E329" i="1"/>
  <c r="E20" i="1"/>
  <c r="E160" i="1"/>
  <c r="E102" i="1"/>
  <c r="E757" i="1"/>
  <c r="E83" i="1"/>
  <c r="E254" i="1"/>
  <c r="E930" i="1"/>
  <c r="E908" i="1"/>
  <c r="E230" i="1"/>
  <c r="E843" i="1"/>
  <c r="E122" i="1"/>
  <c r="E433" i="1"/>
  <c r="E366" i="1"/>
  <c r="E818" i="1"/>
  <c r="E409" i="1"/>
  <c r="E719" i="1"/>
  <c r="E161" i="1"/>
  <c r="E139" i="1"/>
  <c r="E569" i="1"/>
  <c r="E779" i="1"/>
  <c r="E544" i="1"/>
  <c r="E991" i="1"/>
  <c r="E38" i="1"/>
  <c r="E231" i="1"/>
  <c r="E586" i="1"/>
  <c r="E475" i="1"/>
  <c r="E39" i="1"/>
  <c r="E255" i="1"/>
  <c r="E545" i="1"/>
  <c r="E992" i="1"/>
  <c r="E162" i="1"/>
  <c r="E699" i="1"/>
  <c r="E587" i="1"/>
  <c r="E21" i="1"/>
  <c r="E819" i="1"/>
  <c r="E820" i="1"/>
  <c r="E800" i="1"/>
  <c r="E476" i="1"/>
  <c r="E140" i="1"/>
  <c r="E271" i="1"/>
  <c r="E499" i="1"/>
  <c r="E477" i="1"/>
  <c r="E780" i="1"/>
  <c r="E209" i="1"/>
  <c r="E971" i="1"/>
  <c r="E855" i="1"/>
  <c r="E636" i="1"/>
  <c r="E451" i="1"/>
  <c r="E296" i="1"/>
  <c r="E452" i="1"/>
  <c r="E662" i="1"/>
  <c r="E103" i="1"/>
  <c r="E84" i="1"/>
  <c r="E522" i="1"/>
  <c r="E500" i="1"/>
  <c r="E856" i="1"/>
  <c r="E883" i="1"/>
  <c r="E523" i="1"/>
  <c r="E330" i="1"/>
  <c r="E410" i="1"/>
  <c r="E104" i="1"/>
  <c r="E570" i="1"/>
  <c r="E478" i="1"/>
  <c r="E434" i="1"/>
  <c r="E588" i="1"/>
  <c r="E857" i="1"/>
  <c r="E663" i="1"/>
  <c r="E605" i="1"/>
  <c r="E141" i="1"/>
  <c r="E606" i="1"/>
  <c r="E571" i="1"/>
  <c r="E435" i="1"/>
  <c r="E163" i="1"/>
  <c r="E858" i="1"/>
  <c r="E993" i="1"/>
  <c r="E343" i="1"/>
  <c r="E739" i="1"/>
  <c r="E387" i="1"/>
  <c r="E546" i="1"/>
  <c r="E618" i="1"/>
  <c r="E344" i="1"/>
  <c r="E388" i="1"/>
  <c r="E411" i="1"/>
  <c r="E61" i="1"/>
  <c r="E412" i="1"/>
  <c r="E389" i="1"/>
  <c r="E680" i="1"/>
  <c r="E164" i="1"/>
  <c r="E619" i="1"/>
  <c r="E637" i="1"/>
  <c r="E994" i="1"/>
  <c r="E720" i="1"/>
  <c r="E22" i="1"/>
  <c r="E972" i="1"/>
  <c r="E436" i="1"/>
  <c r="E390" i="1"/>
  <c r="E210" i="1"/>
  <c r="E931" i="1"/>
  <c r="E995" i="1"/>
  <c r="E844" i="1"/>
  <c r="E413" i="1"/>
  <c r="E185" i="1"/>
  <c r="E948" i="1"/>
  <c r="E345" i="1"/>
  <c r="E801" i="1"/>
  <c r="E802" i="1"/>
  <c r="E620" i="1"/>
  <c r="E40" i="1"/>
  <c r="E297" i="1"/>
  <c r="E331" i="1"/>
  <c r="E547" i="1"/>
  <c r="E437" i="1"/>
  <c r="E346" i="1"/>
  <c r="E859" i="1"/>
  <c r="E414" i="1"/>
  <c r="E845" i="1"/>
  <c r="E996" i="1"/>
  <c r="E949" i="1"/>
  <c r="E524" i="1"/>
  <c r="E548" i="1"/>
  <c r="E846" i="1"/>
  <c r="E23" i="1"/>
  <c r="E232" i="1"/>
  <c r="E950" i="1"/>
  <c r="E332" i="1"/>
  <c r="E438" i="1"/>
  <c r="E24" i="1"/>
  <c r="E847" i="1"/>
  <c r="E298" i="1"/>
  <c r="E272" i="1"/>
  <c r="E347" i="1"/>
  <c r="E525" i="1"/>
  <c r="E721" i="1"/>
  <c r="E348" i="1"/>
  <c r="E41" i="1"/>
  <c r="E105" i="1"/>
  <c r="E681" i="1"/>
  <c r="E932" i="1"/>
  <c r="E233" i="1"/>
  <c r="E589" i="1"/>
  <c r="E722" i="1"/>
  <c r="E367" i="1"/>
  <c r="E638" i="1"/>
  <c r="E860" i="1"/>
  <c r="E803" i="1"/>
  <c r="E861" i="1"/>
  <c r="E333" i="1"/>
  <c r="E549" i="1"/>
  <c r="E590" i="1"/>
  <c r="E621" i="1"/>
  <c r="E622" i="1"/>
  <c r="E256" i="1"/>
  <c r="E415" i="1"/>
  <c r="E639" i="1"/>
  <c r="E973" i="1"/>
  <c r="E997" i="1"/>
  <c r="E25" i="1"/>
  <c r="E909" i="1"/>
  <c r="E607" i="1"/>
  <c r="E781" i="1"/>
  <c r="E123" i="1"/>
  <c r="E974" i="1"/>
  <c r="E951" i="1"/>
  <c r="E550" i="1"/>
  <c r="E758" i="1"/>
  <c r="E608" i="1"/>
  <c r="E910" i="1"/>
  <c r="E234" i="1"/>
  <c r="E211" i="1"/>
  <c r="E391" i="1"/>
  <c r="E821" i="1"/>
  <c r="E299" i="1"/>
  <c r="E85" i="1"/>
  <c r="E273" i="1"/>
  <c r="E572" i="1"/>
  <c r="E86" i="1"/>
  <c r="E526" i="1"/>
  <c r="E664" i="1"/>
  <c r="E804" i="1"/>
  <c r="E392" i="1"/>
  <c r="E42" i="1"/>
  <c r="E551" i="1"/>
  <c r="E349" i="1"/>
  <c r="E665" i="1"/>
  <c r="E666" i="1"/>
  <c r="E723" i="1"/>
  <c r="E822" i="1"/>
  <c r="E165" i="1"/>
  <c r="E975" i="1"/>
  <c r="E62" i="1"/>
  <c r="E501" i="1"/>
  <c r="E186" i="1"/>
  <c r="E823" i="1"/>
  <c r="E573" i="1"/>
  <c r="E106" i="1"/>
  <c r="E43" i="1"/>
  <c r="E933" i="1"/>
  <c r="E479" i="1"/>
  <c r="E416" i="1"/>
  <c r="E63" i="1"/>
  <c r="E300" i="1"/>
  <c r="E552" i="1"/>
  <c r="E235" i="1"/>
  <c r="E782" i="1"/>
  <c r="E884" i="1"/>
  <c r="E640" i="1"/>
  <c r="E591" i="1"/>
  <c r="E124" i="1"/>
  <c r="E257" i="1"/>
  <c r="E142" i="1"/>
  <c r="E212" i="1"/>
  <c r="E301" i="1"/>
  <c r="E667" i="1"/>
  <c r="E236" i="1"/>
  <c r="E502" i="1"/>
  <c r="E213" i="1"/>
  <c r="E759" i="1"/>
  <c r="E553" i="1"/>
  <c r="E125" i="1"/>
  <c r="E574" i="1"/>
  <c r="E592" i="1"/>
  <c r="E453" i="1"/>
  <c r="E368" i="1"/>
  <c r="E885" i="1"/>
  <c r="E454" i="1"/>
  <c r="E166" i="1"/>
  <c r="E302" i="1"/>
  <c r="E760" i="1"/>
  <c r="E64" i="1"/>
  <c r="E862" i="1"/>
  <c r="E805" i="1"/>
  <c r="E65" i="1"/>
  <c r="E668" i="1"/>
  <c r="E480" i="1"/>
  <c r="E593" i="1"/>
  <c r="E439" i="1"/>
  <c r="E44" i="1"/>
  <c r="E976" i="1"/>
  <c r="E107" i="1"/>
  <c r="E998" i="1"/>
  <c r="E258" i="1"/>
  <c r="E481" i="1"/>
  <c r="E417" i="1"/>
  <c r="E594" i="1"/>
  <c r="E783" i="1"/>
  <c r="E167" i="1"/>
  <c r="E784" i="1"/>
  <c r="E259" i="1"/>
  <c r="E187" i="1"/>
  <c r="E168" i="1"/>
  <c r="E274" i="1"/>
  <c r="E303" i="1"/>
  <c r="E26" i="1"/>
  <c r="E527" i="1"/>
  <c r="E575" i="1"/>
  <c r="E911" i="1"/>
  <c r="E334" i="1"/>
  <c r="E260" i="1"/>
  <c r="E27" i="1"/>
  <c r="E609" i="1"/>
  <c r="E623" i="1"/>
  <c r="E275" i="1"/>
  <c r="E108" i="1"/>
  <c r="E669" i="1"/>
  <c r="E66" i="1"/>
  <c r="E109" i="1"/>
  <c r="E304" i="1"/>
  <c r="E824" i="1"/>
  <c r="E482" i="1"/>
  <c r="E977" i="1"/>
  <c r="E825" i="1"/>
  <c r="E826" i="1"/>
  <c r="E169" i="1"/>
  <c r="E670" i="1"/>
  <c r="E999" i="1"/>
  <c r="E503" i="1"/>
  <c r="E110" i="1"/>
  <c r="E170" i="1"/>
  <c r="E126" i="1"/>
  <c r="E504" i="1"/>
  <c r="E188" i="1"/>
  <c r="E276" i="1"/>
  <c r="E952" i="1"/>
  <c r="E237" i="1"/>
  <c r="E87" i="1"/>
  <c r="E88" i="1"/>
  <c r="E393" i="1"/>
  <c r="E214" i="1"/>
  <c r="E305" i="1"/>
  <c r="E761" i="1"/>
  <c r="E624" i="1"/>
  <c r="E238" i="1"/>
  <c r="E89" i="1"/>
  <c r="E671" i="1"/>
  <c r="E806" i="1"/>
  <c r="E28" i="1"/>
  <c r="E762" i="1"/>
  <c r="E682" i="1"/>
  <c r="E528" i="1"/>
  <c r="E625" i="1"/>
  <c r="E848" i="1"/>
  <c r="E369" i="1"/>
  <c r="E595" i="1"/>
  <c r="E672" i="1"/>
  <c r="E554" i="1"/>
  <c r="E239" i="1"/>
  <c r="E683" i="1"/>
  <c r="E886" i="1"/>
  <c r="E849" i="1"/>
  <c r="E505" i="1"/>
  <c r="E641" i="1"/>
  <c r="E506" i="1"/>
  <c r="E763" i="1"/>
  <c r="E700" i="1"/>
  <c r="E483" i="1"/>
  <c r="E143" i="1"/>
  <c r="E67" i="1"/>
  <c r="E484" i="1"/>
  <c r="E29" i="1"/>
  <c r="E350" i="1"/>
  <c r="E807" i="1"/>
  <c r="E684" i="1"/>
  <c r="E863" i="1"/>
  <c r="E673" i="1"/>
  <c r="E555" i="1"/>
  <c r="E485" i="1"/>
  <c r="E596" i="1"/>
  <c r="E576" i="1"/>
  <c r="E864" i="1"/>
  <c r="E724" i="1"/>
  <c r="E701" i="1"/>
  <c r="E865" i="1"/>
  <c r="E827" i="1"/>
  <c r="E850" i="1"/>
  <c r="E556" i="1"/>
  <c r="E418" i="1"/>
  <c r="E642" i="1"/>
  <c r="E370" i="1"/>
  <c r="E394" i="1"/>
  <c r="E189" i="1"/>
  <c r="E277" i="1"/>
  <c r="E643" i="1"/>
  <c r="E127" i="1"/>
  <c r="E190" i="1"/>
  <c r="E674" i="1"/>
  <c r="E725" i="1"/>
  <c r="E371" i="1"/>
  <c r="E529" i="1"/>
  <c r="E278" i="1"/>
  <c r="E90" i="1"/>
  <c r="E68" i="1"/>
  <c r="E306" i="1"/>
  <c r="E953" i="1"/>
  <c r="E240" i="1"/>
  <c r="E111" i="1"/>
  <c r="E171" i="1"/>
  <c r="E486" i="1"/>
  <c r="E557" i="1"/>
  <c r="E91" i="1"/>
  <c r="E191" i="1"/>
  <c r="E702" i="1"/>
  <c r="E934" i="1"/>
  <c r="E419" i="1"/>
  <c r="E577" i="1"/>
  <c r="E507" i="1"/>
  <c r="E740" i="1"/>
  <c r="E644" i="1"/>
  <c r="E335" i="1"/>
  <c r="E685" i="1"/>
  <c r="E69" i="1"/>
  <c r="E128" i="1"/>
  <c r="E92" i="1"/>
  <c r="E978" i="1"/>
  <c r="E279" i="1"/>
  <c r="E129" i="1"/>
  <c r="E307" i="1"/>
  <c r="E395" i="1"/>
  <c r="E741" i="1"/>
  <c r="E742" i="1"/>
  <c r="E645" i="1"/>
  <c r="E351" i="1"/>
  <c r="E352" i="1"/>
  <c r="E280" i="1"/>
  <c r="E192" i="1"/>
  <c r="E45" i="1"/>
  <c r="E420" i="1"/>
  <c r="E421" i="1"/>
  <c r="E93" i="1"/>
  <c r="E686" i="1"/>
  <c r="E94" i="1"/>
  <c r="E30" i="1"/>
  <c r="E808" i="1"/>
  <c r="E396" i="1"/>
  <c r="E508" i="1"/>
  <c r="E193" i="1"/>
  <c r="E610" i="1"/>
  <c r="E912" i="1"/>
  <c r="E1000" i="1"/>
  <c r="E397" i="1"/>
  <c r="E954" i="1"/>
  <c r="E70" i="1"/>
  <c r="E726" i="1"/>
  <c r="E398" i="1"/>
  <c r="E935" i="1"/>
  <c r="E646" i="1"/>
  <c r="E241" i="1"/>
  <c r="E509" i="1"/>
  <c r="E1001" i="1"/>
  <c r="E46" i="1"/>
  <c r="E703" i="1"/>
  <c r="E828" i="1"/>
  <c r="E704" i="1"/>
  <c r="E530" i="1"/>
  <c r="E936" i="1"/>
  <c r="E764" i="1"/>
  <c r="E242" i="1"/>
  <c r="E243" i="1"/>
  <c r="E112" i="1"/>
  <c r="E887" i="1"/>
  <c r="E194" i="1"/>
  <c r="E47" i="1"/>
  <c r="E531" i="1"/>
  <c r="E785" i="1"/>
  <c r="E743" i="1"/>
  <c r="E308" i="1"/>
  <c r="E510" i="1"/>
  <c r="E866" i="1"/>
  <c r="E937" i="1"/>
  <c r="E851" i="1"/>
  <c r="E611" i="1"/>
  <c r="E422" i="1"/>
  <c r="E71" i="1"/>
  <c r="E48" i="1"/>
  <c r="E809" i="1"/>
  <c r="E113" i="1"/>
  <c r="E309" i="1"/>
  <c r="E487" i="1"/>
  <c r="E144" i="1"/>
  <c r="E955" i="1"/>
  <c r="E888" i="1"/>
  <c r="E913" i="1"/>
  <c r="E914" i="1"/>
  <c r="E31" i="1"/>
  <c r="E558" i="1"/>
  <c r="E829" i="1"/>
  <c r="E281" i="1"/>
  <c r="E612" i="1"/>
  <c r="E130" i="1"/>
  <c r="E282" i="1"/>
  <c r="E647" i="1"/>
  <c r="E675" i="1"/>
  <c r="E532" i="1"/>
  <c r="E956" i="1"/>
  <c r="E353" i="1"/>
  <c r="E283" i="1"/>
  <c r="E215" i="1"/>
  <c r="E744" i="1"/>
  <c r="E32" i="1"/>
  <c r="E511" i="1"/>
  <c r="E830" i="1"/>
  <c r="E938" i="1"/>
  <c r="E727" i="1"/>
  <c r="E244" i="1"/>
  <c r="E310" i="1"/>
  <c r="E786" i="1"/>
  <c r="E145" i="1"/>
  <c r="E957" i="1"/>
  <c r="E440" i="1"/>
  <c r="E423" i="1"/>
  <c r="E831" i="1"/>
  <c r="E958" i="1"/>
  <c r="E512" i="1"/>
  <c r="E311" i="1"/>
  <c r="E765" i="1"/>
  <c r="E131" i="1"/>
  <c r="E832" i="1"/>
  <c r="E705" i="1"/>
  <c r="E172" i="1"/>
  <c r="E513" i="1"/>
  <c r="E915" i="1"/>
  <c r="E787" i="1"/>
  <c r="E312" i="1"/>
  <c r="E533" i="1"/>
  <c r="E706" i="1"/>
  <c r="E216" i="1"/>
  <c r="E852" i="1"/>
  <c r="E916" i="1"/>
  <c r="E488" i="1"/>
  <c r="E648" i="1"/>
  <c r="E889" i="1"/>
  <c r="E245" i="1"/>
  <c r="E745" i="1"/>
  <c r="E441" i="1"/>
  <c r="E917" i="1"/>
  <c r="E746" i="1"/>
  <c r="E676" i="1"/>
  <c r="E173" i="1"/>
  <c r="E72" i="1"/>
  <c r="E354" i="1"/>
  <c r="E424" i="1"/>
  <c r="E959" i="1"/>
  <c r="E174" i="1"/>
  <c r="E313" i="1"/>
  <c r="E175" i="1"/>
  <c r="E455" i="1"/>
  <c r="E747" i="1"/>
  <c r="E73" i="1"/>
  <c r="E336" i="1"/>
  <c r="E890" i="1"/>
  <c r="E534" i="1"/>
  <c r="E626" i="1"/>
  <c r="E687" i="1"/>
  <c r="E176" i="1"/>
  <c r="E442" i="1"/>
  <c r="E337" i="1"/>
  <c r="E146" i="1"/>
  <c r="E748" i="1"/>
  <c r="E114" i="1"/>
  <c r="E74" i="1"/>
  <c r="E514" i="1"/>
  <c r="E132" i="1"/>
  <c r="E261" i="1"/>
  <c r="E456" i="1"/>
  <c r="E217" i="1"/>
  <c r="E867" i="1"/>
  <c r="E918" i="1"/>
  <c r="E115" i="1"/>
  <c r="E75" i="1"/>
  <c r="E372" i="1"/>
  <c r="E559" i="1"/>
  <c r="E133" i="1"/>
  <c r="E810" i="1"/>
  <c r="E355" i="1"/>
  <c r="E116" i="1"/>
  <c r="E399" i="1"/>
  <c r="E195" i="1"/>
  <c r="E373" i="1"/>
  <c r="E649" i="1"/>
  <c r="E262" i="1"/>
  <c r="E979" i="1"/>
  <c r="E728" i="1"/>
  <c r="E749" i="1"/>
  <c r="E425" i="1"/>
  <c r="E766" i="1"/>
  <c r="E196" i="1"/>
  <c r="E980" i="1"/>
  <c r="E356" i="1"/>
  <c r="E750" i="1"/>
  <c r="E49" i="1"/>
  <c r="E457" i="1"/>
  <c r="E147" i="1"/>
  <c r="E677" i="1"/>
  <c r="E177" i="1"/>
  <c r="E374" i="1"/>
  <c r="E314" i="1"/>
  <c r="E535" i="1"/>
  <c r="E76" i="1"/>
  <c r="E284" i="1"/>
  <c r="E891" i="1"/>
  <c r="E627" i="1"/>
  <c r="E400" i="1"/>
  <c r="S12" i="1"/>
  <c r="T10" i="1"/>
  <c r="T9" i="1"/>
  <c r="T11" i="1"/>
  <c r="S11" i="1"/>
  <c r="S10" i="1"/>
  <c r="V9" i="1" a="1"/>
  <c r="V9" i="1" s="1"/>
  <c r="N429" i="1"/>
  <c r="N118" i="1"/>
  <c r="N561" i="1"/>
  <c r="N583" i="1"/>
  <c r="N871" i="1"/>
  <c r="N986" i="1"/>
  <c r="N900" i="1"/>
  <c r="N135" i="1"/>
  <c r="N752" i="1"/>
  <c r="N460" i="1"/>
  <c r="N35" i="1"/>
  <c r="N292" i="1"/>
  <c r="N709" i="1"/>
  <c r="N461" i="1"/>
  <c r="N52" i="1"/>
  <c r="N446" i="1"/>
  <c r="N813" i="1"/>
  <c r="N462" i="1"/>
  <c r="N6" i="1"/>
  <c r="N562" i="1"/>
  <c r="N7" i="1"/>
  <c r="N380" i="1"/>
  <c r="N97" i="1"/>
  <c r="N657" i="1"/>
  <c r="N463" i="1"/>
  <c r="N246" i="1"/>
  <c r="N987" i="1"/>
  <c r="N835" i="1"/>
  <c r="N265" i="1"/>
  <c r="N691" i="1"/>
  <c r="N8" i="1"/>
  <c r="N563" i="1"/>
  <c r="N710" i="1"/>
  <c r="N464" i="1"/>
  <c r="N430" i="1"/>
  <c r="N539" i="1"/>
  <c r="N711" i="1"/>
  <c r="N517" i="1"/>
  <c r="N963" i="1"/>
  <c r="N53" i="1"/>
  <c r="N465" i="1"/>
  <c r="N712" i="1"/>
  <c r="N853" i="1"/>
  <c r="N943" i="1"/>
  <c r="N9" i="1"/>
  <c r="N540" i="1"/>
  <c r="N36" i="1"/>
  <c r="N98" i="1"/>
  <c r="N10" i="1"/>
  <c r="N54" i="1"/>
  <c r="N632" i="1"/>
  <c r="N201" i="1"/>
  <c r="N266" i="1"/>
  <c r="N692" i="1"/>
  <c r="N492" i="1"/>
  <c r="N221" i="1"/>
  <c r="N431" i="1"/>
  <c r="N793" i="1"/>
  <c r="N180" i="1"/>
  <c r="N658" i="1"/>
  <c r="N181" i="1"/>
  <c r="N564" i="1"/>
  <c r="N466" i="1"/>
  <c r="N78" i="1"/>
  <c r="N493" i="1"/>
  <c r="N659" i="1"/>
  <c r="N734" i="1"/>
  <c r="N599" i="1"/>
  <c r="N494" i="1"/>
  <c r="N923" i="1"/>
  <c r="N794" i="1"/>
  <c r="N944" i="1"/>
  <c r="N136" i="1"/>
  <c r="N55" i="1"/>
  <c r="N633" i="1"/>
  <c r="N11" i="1"/>
  <c r="N247" i="1"/>
  <c r="N12" i="1"/>
  <c r="N565" i="1"/>
  <c r="N293" i="1"/>
  <c r="N13" i="1"/>
  <c r="N836" i="1"/>
  <c r="N150" i="1"/>
  <c r="N79" i="1"/>
  <c r="N615" i="1"/>
  <c r="N119" i="1"/>
  <c r="N137" i="1"/>
  <c r="N222" i="1"/>
  <c r="N872" i="1"/>
  <c r="N467" i="1"/>
  <c r="N294" i="1"/>
  <c r="N56" i="1"/>
  <c r="N873" i="1"/>
  <c r="N223" i="1"/>
  <c r="N319" i="1"/>
  <c r="N566" i="1"/>
  <c r="N584" i="1"/>
  <c r="N874" i="1"/>
  <c r="N875" i="1"/>
  <c r="N924" i="1"/>
  <c r="N381" i="1"/>
  <c r="N771" i="1"/>
  <c r="N382" i="1"/>
  <c r="N360" i="1"/>
  <c r="N518" i="1"/>
  <c r="N814" i="1"/>
  <c r="N945" i="1"/>
  <c r="N361" i="1"/>
  <c r="N151" i="1"/>
  <c r="N224" i="1"/>
  <c r="N248" i="1"/>
  <c r="N519" i="1"/>
  <c r="N362" i="1"/>
  <c r="N876" i="1"/>
  <c r="N964" i="1"/>
  <c r="N600" i="1"/>
  <c r="N432" i="1"/>
  <c r="N772" i="1"/>
  <c r="N925" i="1"/>
  <c r="N693" i="1"/>
  <c r="N877" i="1"/>
  <c r="N383" i="1"/>
  <c r="N202" i="1"/>
  <c r="N965" i="1"/>
  <c r="N694" i="1"/>
  <c r="N773" i="1"/>
  <c r="N837" i="1"/>
  <c r="N468" i="1"/>
  <c r="N57" i="1"/>
  <c r="N80" i="1"/>
  <c r="N901" i="1"/>
  <c r="N878" i="1"/>
  <c r="N469" i="1"/>
  <c r="N926" i="1"/>
  <c r="N616" i="1"/>
  <c r="N601" i="1"/>
  <c r="N320" i="1"/>
  <c r="N602" i="1"/>
  <c r="N753" i="1"/>
  <c r="N14" i="1"/>
  <c r="N988" i="1"/>
  <c r="N470" i="1"/>
  <c r="N713" i="1"/>
  <c r="N203" i="1"/>
  <c r="N225" i="1"/>
  <c r="N774" i="1"/>
  <c r="N249" i="1"/>
  <c r="N735" i="1"/>
  <c r="N99" i="1"/>
  <c r="N946" i="1"/>
  <c r="N321" i="1"/>
  <c r="N879" i="1"/>
  <c r="N795" i="1"/>
  <c r="N902" i="1"/>
  <c r="N541" i="1"/>
  <c r="N796" i="1"/>
  <c r="N81" i="1"/>
  <c r="N966" i="1"/>
  <c r="N736" i="1"/>
  <c r="N152" i="1"/>
  <c r="N967" i="1"/>
  <c r="N603" i="1"/>
  <c r="N989" i="1"/>
  <c r="N226" i="1"/>
  <c r="N815" i="1"/>
  <c r="N660" i="1"/>
  <c r="N816" i="1"/>
  <c r="N775" i="1"/>
  <c r="N695" i="1"/>
  <c r="N520" i="1"/>
  <c r="N204" i="1"/>
  <c r="N267" i="1"/>
  <c r="N384" i="1"/>
  <c r="N363" i="1"/>
  <c r="N903" i="1"/>
  <c r="N82" i="1"/>
  <c r="N714" i="1"/>
  <c r="N776" i="1"/>
  <c r="N817" i="1"/>
  <c r="N295" i="1"/>
  <c r="N754" i="1"/>
  <c r="N268" i="1"/>
  <c r="N269" i="1"/>
  <c r="N990" i="1"/>
  <c r="N153" i="1"/>
  <c r="N567" i="1"/>
  <c r="N404" i="1"/>
  <c r="N838" i="1"/>
  <c r="N777" i="1"/>
  <c r="N138" i="1"/>
  <c r="N227" i="1"/>
  <c r="N715" i="1"/>
  <c r="N385" i="1"/>
  <c r="N270" i="1"/>
  <c r="N585" i="1"/>
  <c r="N228" i="1"/>
  <c r="N904" i="1"/>
  <c r="N617" i="1"/>
  <c r="N716" i="1"/>
  <c r="N471" i="1"/>
  <c r="N927" i="1"/>
  <c r="N495" i="1"/>
  <c r="N58" i="1"/>
  <c r="N120" i="1"/>
  <c r="N496" i="1"/>
  <c r="N634" i="1"/>
  <c r="N154" i="1"/>
  <c r="N839" i="1"/>
  <c r="N182" i="1"/>
  <c r="N155" i="1"/>
  <c r="N717" i="1"/>
  <c r="N342" i="1"/>
  <c r="N205" i="1"/>
  <c r="N322" i="1"/>
  <c r="N542" i="1"/>
  <c r="N696" i="1"/>
  <c r="N323" i="1"/>
  <c r="N497" i="1"/>
  <c r="N661" i="1"/>
  <c r="N324" i="1"/>
  <c r="N15" i="1"/>
  <c r="N968" i="1"/>
  <c r="N718" i="1"/>
  <c r="N156" i="1"/>
  <c r="N157" i="1"/>
  <c r="N183" i="1"/>
  <c r="N880" i="1"/>
  <c r="N881" i="1"/>
  <c r="N947" i="1"/>
  <c r="N854" i="1"/>
  <c r="N840" i="1"/>
  <c r="N121" i="1"/>
  <c r="N697" i="1"/>
  <c r="N16" i="1"/>
  <c r="N405" i="1"/>
  <c r="N325" i="1"/>
  <c r="N386" i="1"/>
  <c r="N184" i="1"/>
  <c r="N447" i="1"/>
  <c r="N250" i="1"/>
  <c r="N406" i="1"/>
  <c r="N206" i="1"/>
  <c r="N326" i="1"/>
  <c r="N229" i="1"/>
  <c r="N448" i="1"/>
  <c r="N327" i="1"/>
  <c r="N928" i="1"/>
  <c r="N568" i="1"/>
  <c r="N969" i="1"/>
  <c r="N797" i="1"/>
  <c r="N905" i="1"/>
  <c r="N798" i="1"/>
  <c r="N328" i="1"/>
  <c r="N207" i="1"/>
  <c r="N737" i="1"/>
  <c r="N364" i="1"/>
  <c r="N17" i="1"/>
  <c r="N251" i="1"/>
  <c r="N59" i="1"/>
  <c r="N521" i="1"/>
  <c r="N698" i="1"/>
  <c r="N407" i="1"/>
  <c r="N841" i="1"/>
  <c r="N906" i="1"/>
  <c r="N408" i="1"/>
  <c r="N18" i="1"/>
  <c r="N929" i="1"/>
  <c r="N755" i="1"/>
  <c r="N60" i="1"/>
  <c r="N970" i="1"/>
  <c r="N449" i="1"/>
  <c r="N365" i="1"/>
  <c r="N252" i="1"/>
  <c r="N253" i="1"/>
  <c r="N472" i="1"/>
  <c r="N100" i="1"/>
  <c r="N450" i="1"/>
  <c r="N907" i="1"/>
  <c r="N604" i="1"/>
  <c r="N778" i="1"/>
  <c r="N799" i="1"/>
  <c r="N158" i="1"/>
  <c r="N208" i="1"/>
  <c r="N882" i="1"/>
  <c r="N842" i="1"/>
  <c r="N543" i="1"/>
  <c r="N19" i="1"/>
  <c r="N473" i="1"/>
  <c r="N37" i="1"/>
  <c r="N101" i="1"/>
  <c r="N756" i="1"/>
  <c r="N474" i="1"/>
  <c r="N738" i="1"/>
  <c r="N159" i="1"/>
  <c r="N635" i="1"/>
  <c r="N498" i="1"/>
  <c r="N329" i="1"/>
  <c r="N20" i="1"/>
  <c r="N160" i="1"/>
  <c r="N102" i="1"/>
  <c r="N757" i="1"/>
  <c r="N83" i="1"/>
  <c r="N254" i="1"/>
  <c r="N930" i="1"/>
  <c r="N908" i="1"/>
  <c r="N230" i="1"/>
  <c r="N843" i="1"/>
  <c r="N122" i="1"/>
  <c r="N433" i="1"/>
  <c r="N366" i="1"/>
  <c r="N818" i="1"/>
  <c r="N409" i="1"/>
  <c r="N719" i="1"/>
  <c r="N161" i="1"/>
  <c r="N139" i="1"/>
  <c r="N569" i="1"/>
  <c r="N779" i="1"/>
  <c r="N544" i="1"/>
  <c r="N991" i="1"/>
  <c r="N38" i="1"/>
  <c r="N231" i="1"/>
  <c r="N586" i="1"/>
  <c r="N475" i="1"/>
  <c r="N39" i="1"/>
  <c r="N255" i="1"/>
  <c r="N545" i="1"/>
  <c r="N992" i="1"/>
  <c r="N162" i="1"/>
  <c r="N699" i="1"/>
  <c r="N587" i="1"/>
  <c r="N21" i="1"/>
  <c r="N819" i="1"/>
  <c r="N820" i="1"/>
  <c r="N800" i="1"/>
  <c r="N476" i="1"/>
  <c r="N140" i="1"/>
  <c r="N271" i="1"/>
  <c r="N499" i="1"/>
  <c r="N477" i="1"/>
  <c r="N780" i="1"/>
  <c r="N209" i="1"/>
  <c r="N971" i="1"/>
  <c r="N855" i="1"/>
  <c r="N636" i="1"/>
  <c r="N451" i="1"/>
  <c r="N296" i="1"/>
  <c r="N452" i="1"/>
  <c r="N662" i="1"/>
  <c r="N103" i="1"/>
  <c r="N84" i="1"/>
  <c r="N522" i="1"/>
  <c r="N500" i="1"/>
  <c r="N856" i="1"/>
  <c r="N883" i="1"/>
  <c r="N523" i="1"/>
  <c r="N330" i="1"/>
  <c r="N410" i="1"/>
  <c r="N104" i="1"/>
  <c r="N570" i="1"/>
  <c r="N478" i="1"/>
  <c r="N434" i="1"/>
  <c r="N588" i="1"/>
  <c r="N857" i="1"/>
  <c r="N663" i="1"/>
  <c r="N605" i="1"/>
  <c r="N141" i="1"/>
  <c r="N606" i="1"/>
  <c r="N571" i="1"/>
  <c r="N435" i="1"/>
  <c r="N163" i="1"/>
  <c r="N858" i="1"/>
  <c r="N993" i="1"/>
  <c r="N343" i="1"/>
  <c r="N739" i="1"/>
  <c r="N387" i="1"/>
  <c r="N546" i="1"/>
  <c r="N618" i="1"/>
  <c r="N344" i="1"/>
  <c r="N388" i="1"/>
  <c r="N411" i="1"/>
  <c r="N61" i="1"/>
  <c r="N412" i="1"/>
  <c r="N389" i="1"/>
  <c r="N680" i="1"/>
  <c r="N164" i="1"/>
  <c r="N619" i="1"/>
  <c r="N637" i="1"/>
  <c r="N994" i="1"/>
  <c r="N720" i="1"/>
  <c r="N22" i="1"/>
  <c r="N972" i="1"/>
  <c r="N436" i="1"/>
  <c r="N390" i="1"/>
  <c r="N210" i="1"/>
  <c r="N931" i="1"/>
  <c r="N995" i="1"/>
  <c r="N844" i="1"/>
  <c r="N413" i="1"/>
  <c r="N185" i="1"/>
  <c r="N948" i="1"/>
  <c r="N345" i="1"/>
  <c r="N801" i="1"/>
  <c r="N802" i="1"/>
  <c r="N620" i="1"/>
  <c r="N40" i="1"/>
  <c r="N297" i="1"/>
  <c r="N331" i="1"/>
  <c r="N547" i="1"/>
  <c r="N437" i="1"/>
  <c r="N346" i="1"/>
  <c r="N859" i="1"/>
  <c r="N414" i="1"/>
  <c r="N845" i="1"/>
  <c r="N996" i="1"/>
  <c r="N949" i="1"/>
  <c r="N524" i="1"/>
  <c r="N548" i="1"/>
  <c r="N846" i="1"/>
  <c r="N23" i="1"/>
  <c r="N232" i="1"/>
  <c r="N950" i="1"/>
  <c r="N332" i="1"/>
  <c r="N438" i="1"/>
  <c r="N24" i="1"/>
  <c r="N847" i="1"/>
  <c r="N298" i="1"/>
  <c r="N272" i="1"/>
  <c r="N347" i="1"/>
  <c r="N525" i="1"/>
  <c r="N721" i="1"/>
  <c r="N348" i="1"/>
  <c r="N41" i="1"/>
  <c r="N105" i="1"/>
  <c r="N681" i="1"/>
  <c r="N932" i="1"/>
  <c r="N233" i="1"/>
  <c r="N589" i="1"/>
  <c r="N722" i="1"/>
  <c r="N367" i="1"/>
  <c r="N638" i="1"/>
  <c r="N860" i="1"/>
  <c r="N803" i="1"/>
  <c r="N861" i="1"/>
  <c r="N333" i="1"/>
  <c r="N549" i="1"/>
  <c r="N590" i="1"/>
  <c r="N621" i="1"/>
  <c r="N622" i="1"/>
  <c r="N256" i="1"/>
  <c r="N415" i="1"/>
  <c r="N639" i="1"/>
  <c r="N973" i="1"/>
  <c r="N997" i="1"/>
  <c r="N25" i="1"/>
  <c r="N909" i="1"/>
  <c r="N607" i="1"/>
  <c r="N781" i="1"/>
  <c r="N123" i="1"/>
  <c r="N974" i="1"/>
  <c r="N951" i="1"/>
  <c r="N550" i="1"/>
  <c r="N758" i="1"/>
  <c r="N608" i="1"/>
  <c r="N910" i="1"/>
  <c r="N234" i="1"/>
  <c r="N211" i="1"/>
  <c r="N391" i="1"/>
  <c r="N821" i="1"/>
  <c r="N299" i="1"/>
  <c r="N85" i="1"/>
  <c r="N273" i="1"/>
  <c r="N572" i="1"/>
  <c r="N86" i="1"/>
  <c r="N526" i="1"/>
  <c r="N664" i="1"/>
  <c r="N804" i="1"/>
  <c r="N392" i="1"/>
  <c r="N42" i="1"/>
  <c r="N551" i="1"/>
  <c r="N349" i="1"/>
  <c r="N665" i="1"/>
  <c r="N666" i="1"/>
  <c r="N723" i="1"/>
  <c r="N822" i="1"/>
  <c r="N165" i="1"/>
  <c r="N975" i="1"/>
  <c r="N62" i="1"/>
  <c r="N501" i="1"/>
  <c r="N186" i="1"/>
  <c r="N823" i="1"/>
  <c r="N573" i="1"/>
  <c r="N106" i="1"/>
  <c r="N43" i="1"/>
  <c r="N933" i="1"/>
  <c r="N479" i="1"/>
  <c r="N416" i="1"/>
  <c r="N63" i="1"/>
  <c r="N300" i="1"/>
  <c r="N552" i="1"/>
  <c r="N235" i="1"/>
  <c r="N782" i="1"/>
  <c r="N884" i="1"/>
  <c r="N640" i="1"/>
  <c r="N591" i="1"/>
  <c r="N124" i="1"/>
  <c r="N257" i="1"/>
  <c r="N142" i="1"/>
  <c r="N212" i="1"/>
  <c r="N301" i="1"/>
  <c r="N667" i="1"/>
  <c r="N236" i="1"/>
  <c r="N502" i="1"/>
  <c r="N213" i="1"/>
  <c r="N759" i="1"/>
  <c r="N553" i="1"/>
  <c r="N125" i="1"/>
  <c r="N574" i="1"/>
  <c r="N592" i="1"/>
  <c r="N453" i="1"/>
  <c r="N368" i="1"/>
  <c r="N885" i="1"/>
  <c r="N454" i="1"/>
  <c r="N166" i="1"/>
  <c r="N302" i="1"/>
  <c r="N760" i="1"/>
  <c r="N64" i="1"/>
  <c r="N862" i="1"/>
  <c r="N805" i="1"/>
  <c r="N65" i="1"/>
  <c r="N668" i="1"/>
  <c r="N480" i="1"/>
  <c r="N593" i="1"/>
  <c r="N439" i="1"/>
  <c r="N44" i="1"/>
  <c r="N976" i="1"/>
  <c r="N107" i="1"/>
  <c r="N998" i="1"/>
  <c r="N258" i="1"/>
  <c r="N481" i="1"/>
  <c r="N417" i="1"/>
  <c r="N594" i="1"/>
  <c r="N783" i="1"/>
  <c r="N167" i="1"/>
  <c r="N784" i="1"/>
  <c r="N259" i="1"/>
  <c r="N187" i="1"/>
  <c r="N168" i="1"/>
  <c r="N274" i="1"/>
  <c r="N303" i="1"/>
  <c r="N26" i="1"/>
  <c r="N527" i="1"/>
  <c r="N575" i="1"/>
  <c r="N911" i="1"/>
  <c r="N334" i="1"/>
  <c r="N260" i="1"/>
  <c r="N27" i="1"/>
  <c r="N609" i="1"/>
  <c r="N623" i="1"/>
  <c r="N275" i="1"/>
  <c r="N108" i="1"/>
  <c r="N669" i="1"/>
  <c r="N66" i="1"/>
  <c r="N109" i="1"/>
  <c r="N304" i="1"/>
  <c r="N824" i="1"/>
  <c r="N482" i="1"/>
  <c r="N977" i="1"/>
  <c r="N825" i="1"/>
  <c r="N826" i="1"/>
  <c r="N169" i="1"/>
  <c r="N670" i="1"/>
  <c r="N999" i="1"/>
  <c r="N503" i="1"/>
  <c r="N110" i="1"/>
  <c r="N170" i="1"/>
  <c r="N126" i="1"/>
  <c r="N504" i="1"/>
  <c r="N188" i="1"/>
  <c r="N276" i="1"/>
  <c r="N952" i="1"/>
  <c r="N237" i="1"/>
  <c r="N87" i="1"/>
  <c r="N88" i="1"/>
  <c r="N393" i="1"/>
  <c r="N214" i="1"/>
  <c r="N305" i="1"/>
  <c r="N761" i="1"/>
  <c r="N624" i="1"/>
  <c r="N238" i="1"/>
  <c r="N89" i="1"/>
  <c r="N671" i="1"/>
  <c r="N806" i="1"/>
  <c r="N28" i="1"/>
  <c r="N762" i="1"/>
  <c r="N682" i="1"/>
  <c r="N528" i="1"/>
  <c r="N625" i="1"/>
  <c r="N848" i="1"/>
  <c r="N369" i="1"/>
  <c r="N595" i="1"/>
  <c r="N672" i="1"/>
  <c r="N554" i="1"/>
  <c r="N239" i="1"/>
  <c r="N683" i="1"/>
  <c r="N886" i="1"/>
  <c r="N849" i="1"/>
  <c r="N505" i="1"/>
  <c r="N641" i="1"/>
  <c r="N506" i="1"/>
  <c r="N763" i="1"/>
  <c r="N700" i="1"/>
  <c r="N483" i="1"/>
  <c r="N143" i="1"/>
  <c r="N67" i="1"/>
  <c r="N484" i="1"/>
  <c r="N29" i="1"/>
  <c r="N350" i="1"/>
  <c r="N807" i="1"/>
  <c r="N684" i="1"/>
  <c r="N863" i="1"/>
  <c r="N673" i="1"/>
  <c r="N555" i="1"/>
  <c r="N485" i="1"/>
  <c r="N596" i="1"/>
  <c r="N576" i="1"/>
  <c r="N864" i="1"/>
  <c r="N724" i="1"/>
  <c r="N701" i="1"/>
  <c r="N865" i="1"/>
  <c r="N827" i="1"/>
  <c r="N850" i="1"/>
  <c r="N556" i="1"/>
  <c r="N418" i="1"/>
  <c r="N642" i="1"/>
  <c r="N370" i="1"/>
  <c r="N394" i="1"/>
  <c r="N189" i="1"/>
  <c r="N277" i="1"/>
  <c r="N643" i="1"/>
  <c r="N127" i="1"/>
  <c r="N190" i="1"/>
  <c r="N674" i="1"/>
  <c r="N725" i="1"/>
  <c r="N371" i="1"/>
  <c r="N529" i="1"/>
  <c r="N278" i="1"/>
  <c r="N90" i="1"/>
  <c r="N68" i="1"/>
  <c r="N306" i="1"/>
  <c r="N953" i="1"/>
  <c r="N240" i="1"/>
  <c r="N111" i="1"/>
  <c r="N171" i="1"/>
  <c r="N486" i="1"/>
  <c r="N557" i="1"/>
  <c r="N91" i="1"/>
  <c r="N191" i="1"/>
  <c r="N702" i="1"/>
  <c r="N934" i="1"/>
  <c r="N419" i="1"/>
  <c r="N577" i="1"/>
  <c r="N507" i="1"/>
  <c r="N740" i="1"/>
  <c r="N644" i="1"/>
  <c r="N335" i="1"/>
  <c r="N685" i="1"/>
  <c r="N69" i="1"/>
  <c r="N128" i="1"/>
  <c r="N92" i="1"/>
  <c r="N978" i="1"/>
  <c r="N279" i="1"/>
  <c r="N129" i="1"/>
  <c r="N307" i="1"/>
  <c r="N395" i="1"/>
  <c r="N741" i="1"/>
  <c r="N742" i="1"/>
  <c r="N645" i="1"/>
  <c r="N351" i="1"/>
  <c r="N352" i="1"/>
  <c r="N280" i="1"/>
  <c r="N192" i="1"/>
  <c r="N45" i="1"/>
  <c r="N420" i="1"/>
  <c r="N421" i="1"/>
  <c r="N93" i="1"/>
  <c r="N686" i="1"/>
  <c r="N94" i="1"/>
  <c r="N30" i="1"/>
  <c r="N808" i="1"/>
  <c r="N396" i="1"/>
  <c r="N508" i="1"/>
  <c r="N193" i="1"/>
  <c r="N610" i="1"/>
  <c r="N912" i="1"/>
  <c r="N1000" i="1"/>
  <c r="N397" i="1"/>
  <c r="N954" i="1"/>
  <c r="N70" i="1"/>
  <c r="N726" i="1"/>
  <c r="N398" i="1"/>
  <c r="N935" i="1"/>
  <c r="N646" i="1"/>
  <c r="N241" i="1"/>
  <c r="N509" i="1"/>
  <c r="N1001" i="1"/>
  <c r="N46" i="1"/>
  <c r="N703" i="1"/>
  <c r="N828" i="1"/>
  <c r="N704" i="1"/>
  <c r="N530" i="1"/>
  <c r="N936" i="1"/>
  <c r="N764" i="1"/>
  <c r="N242" i="1"/>
  <c r="N243" i="1"/>
  <c r="N112" i="1"/>
  <c r="N887" i="1"/>
  <c r="N194" i="1"/>
  <c r="N47" i="1"/>
  <c r="N531" i="1"/>
  <c r="N785" i="1"/>
  <c r="N743" i="1"/>
  <c r="N308" i="1"/>
  <c r="N510" i="1"/>
  <c r="N866" i="1"/>
  <c r="N937" i="1"/>
  <c r="N851" i="1"/>
  <c r="N611" i="1"/>
  <c r="N422" i="1"/>
  <c r="N71" i="1"/>
  <c r="N48" i="1"/>
  <c r="N809" i="1"/>
  <c r="N113" i="1"/>
  <c r="N309" i="1"/>
  <c r="N487" i="1"/>
  <c r="N144" i="1"/>
  <c r="N955" i="1"/>
  <c r="N888" i="1"/>
  <c r="N913" i="1"/>
  <c r="N914" i="1"/>
  <c r="N31" i="1"/>
  <c r="N558" i="1"/>
  <c r="N829" i="1"/>
  <c r="N281" i="1"/>
  <c r="N612" i="1"/>
  <c r="N130" i="1"/>
  <c r="N282" i="1"/>
  <c r="N647" i="1"/>
  <c r="N675" i="1"/>
  <c r="N532" i="1"/>
  <c r="N956" i="1"/>
  <c r="N353" i="1"/>
  <c r="N283" i="1"/>
  <c r="N215" i="1"/>
  <c r="N744" i="1"/>
  <c r="N32" i="1"/>
  <c r="N511" i="1"/>
  <c r="N830" i="1"/>
  <c r="N938" i="1"/>
  <c r="N727" i="1"/>
  <c r="N244" i="1"/>
  <c r="N310" i="1"/>
  <c r="N786" i="1"/>
  <c r="N145" i="1"/>
  <c r="N957" i="1"/>
  <c r="N440" i="1"/>
  <c r="N423" i="1"/>
  <c r="N831" i="1"/>
  <c r="N958" i="1"/>
  <c r="N512" i="1"/>
  <c r="N311" i="1"/>
  <c r="N765" i="1"/>
  <c r="N131" i="1"/>
  <c r="N832" i="1"/>
  <c r="N705" i="1"/>
  <c r="N172" i="1"/>
  <c r="N513" i="1"/>
  <c r="N915" i="1"/>
  <c r="N787" i="1"/>
  <c r="N312" i="1"/>
  <c r="N533" i="1"/>
  <c r="N706" i="1"/>
  <c r="N216" i="1"/>
  <c r="N852" i="1"/>
  <c r="N916" i="1"/>
  <c r="N488" i="1"/>
  <c r="N648" i="1"/>
  <c r="N889" i="1"/>
  <c r="N245" i="1"/>
  <c r="N745" i="1"/>
  <c r="N441" i="1"/>
  <c r="N917" i="1"/>
  <c r="N746" i="1"/>
  <c r="N676" i="1"/>
  <c r="N173" i="1"/>
  <c r="N72" i="1"/>
  <c r="N354" i="1"/>
  <c r="N424" i="1"/>
  <c r="N959" i="1"/>
  <c r="N174" i="1"/>
  <c r="N313" i="1"/>
  <c r="N175" i="1"/>
  <c r="N455" i="1"/>
  <c r="N747" i="1"/>
  <c r="N73" i="1"/>
  <c r="N336" i="1"/>
  <c r="N890" i="1"/>
  <c r="N534" i="1"/>
  <c r="N626" i="1"/>
  <c r="N687" i="1"/>
  <c r="N176" i="1"/>
  <c r="N442" i="1"/>
  <c r="N337" i="1"/>
  <c r="N146" i="1"/>
  <c r="N748" i="1"/>
  <c r="N114" i="1"/>
  <c r="N74" i="1"/>
  <c r="N514" i="1"/>
  <c r="N132" i="1"/>
  <c r="N261" i="1"/>
  <c r="N456" i="1"/>
  <c r="N217" i="1"/>
  <c r="N867" i="1"/>
  <c r="N918" i="1"/>
  <c r="N115" i="1"/>
  <c r="N75" i="1"/>
  <c r="N372" i="1"/>
  <c r="N559" i="1"/>
  <c r="N133" i="1"/>
  <c r="N810" i="1"/>
  <c r="N355" i="1"/>
  <c r="N116" i="1"/>
  <c r="N399" i="1"/>
  <c r="N195" i="1"/>
  <c r="N373" i="1"/>
  <c r="N649" i="1"/>
  <c r="N262" i="1"/>
  <c r="N979" i="1"/>
  <c r="N728" i="1"/>
  <c r="N749" i="1"/>
  <c r="N425" i="1"/>
  <c r="N766" i="1"/>
  <c r="N196" i="1"/>
  <c r="N980" i="1"/>
  <c r="N356" i="1"/>
  <c r="N750" i="1"/>
  <c r="N49" i="1"/>
  <c r="N457" i="1"/>
  <c r="N147" i="1"/>
  <c r="N677" i="1"/>
  <c r="N177" i="1"/>
  <c r="N374" i="1"/>
  <c r="N314" i="1"/>
  <c r="N535" i="1"/>
  <c r="N76" i="1"/>
  <c r="N284" i="1"/>
  <c r="N891" i="1"/>
  <c r="N627" i="1"/>
  <c r="N400" i="1"/>
  <c r="O429" i="1"/>
  <c r="O118" i="1"/>
  <c r="O561" i="1"/>
  <c r="O583" i="1"/>
  <c r="O871" i="1"/>
  <c r="O986" i="1"/>
  <c r="O900" i="1"/>
  <c r="O135" i="1"/>
  <c r="O752" i="1"/>
  <c r="O460" i="1"/>
  <c r="O35" i="1"/>
  <c r="O292" i="1"/>
  <c r="O709" i="1"/>
  <c r="O461" i="1"/>
  <c r="O52" i="1"/>
  <c r="O446" i="1"/>
  <c r="O813" i="1"/>
  <c r="O462" i="1"/>
  <c r="O6" i="1"/>
  <c r="O562" i="1"/>
  <c r="O7" i="1"/>
  <c r="O380" i="1"/>
  <c r="O97" i="1"/>
  <c r="O657" i="1"/>
  <c r="O463" i="1"/>
  <c r="O246" i="1"/>
  <c r="O987" i="1"/>
  <c r="O835" i="1"/>
  <c r="O265" i="1"/>
  <c r="O691" i="1"/>
  <c r="O8" i="1"/>
  <c r="O563" i="1"/>
  <c r="O710" i="1"/>
  <c r="O464" i="1"/>
  <c r="O430" i="1"/>
  <c r="O539" i="1"/>
  <c r="O711" i="1"/>
  <c r="O517" i="1"/>
  <c r="O963" i="1"/>
  <c r="O53" i="1"/>
  <c r="O465" i="1"/>
  <c r="O712" i="1"/>
  <c r="O853" i="1"/>
  <c r="O943" i="1"/>
  <c r="O9" i="1"/>
  <c r="O540" i="1"/>
  <c r="O36" i="1"/>
  <c r="O98" i="1"/>
  <c r="O10" i="1"/>
  <c r="O54" i="1"/>
  <c r="O632" i="1"/>
  <c r="O201" i="1"/>
  <c r="O266" i="1"/>
  <c r="O692" i="1"/>
  <c r="O492" i="1"/>
  <c r="O221" i="1"/>
  <c r="O431" i="1"/>
  <c r="O793" i="1"/>
  <c r="O180" i="1"/>
  <c r="O658" i="1"/>
  <c r="O181" i="1"/>
  <c r="O564" i="1"/>
  <c r="O466" i="1"/>
  <c r="O78" i="1"/>
  <c r="O493" i="1"/>
  <c r="O659" i="1"/>
  <c r="O734" i="1"/>
  <c r="O599" i="1"/>
  <c r="O494" i="1"/>
  <c r="O923" i="1"/>
  <c r="O794" i="1"/>
  <c r="O944" i="1"/>
  <c r="O136" i="1"/>
  <c r="O55" i="1"/>
  <c r="O633" i="1"/>
  <c r="O11" i="1"/>
  <c r="O247" i="1"/>
  <c r="O12" i="1"/>
  <c r="O565" i="1"/>
  <c r="O293" i="1"/>
  <c r="O13" i="1"/>
  <c r="O836" i="1"/>
  <c r="O150" i="1"/>
  <c r="O79" i="1"/>
  <c r="O615" i="1"/>
  <c r="O119" i="1"/>
  <c r="O137" i="1"/>
  <c r="O222" i="1"/>
  <c r="O872" i="1"/>
  <c r="O467" i="1"/>
  <c r="O294" i="1"/>
  <c r="O56" i="1"/>
  <c r="O873" i="1"/>
  <c r="O223" i="1"/>
  <c r="O319" i="1"/>
  <c r="O566" i="1"/>
  <c r="O584" i="1"/>
  <c r="O874" i="1"/>
  <c r="O875" i="1"/>
  <c r="O924" i="1"/>
  <c r="O381" i="1"/>
  <c r="O771" i="1"/>
  <c r="O382" i="1"/>
  <c r="O360" i="1"/>
  <c r="O518" i="1"/>
  <c r="O814" i="1"/>
  <c r="O945" i="1"/>
  <c r="O361" i="1"/>
  <c r="O151" i="1"/>
  <c r="O224" i="1"/>
  <c r="O248" i="1"/>
  <c r="O519" i="1"/>
  <c r="O362" i="1"/>
  <c r="O876" i="1"/>
  <c r="O964" i="1"/>
  <c r="O600" i="1"/>
  <c r="O432" i="1"/>
  <c r="O772" i="1"/>
  <c r="O925" i="1"/>
  <c r="O693" i="1"/>
  <c r="O877" i="1"/>
  <c r="O383" i="1"/>
  <c r="O202" i="1"/>
  <c r="O965" i="1"/>
  <c r="O694" i="1"/>
  <c r="O773" i="1"/>
  <c r="O837" i="1"/>
  <c r="O468" i="1"/>
  <c r="O57" i="1"/>
  <c r="O80" i="1"/>
  <c r="O901" i="1"/>
  <c r="O878" i="1"/>
  <c r="O469" i="1"/>
  <c r="O926" i="1"/>
  <c r="O616" i="1"/>
  <c r="O601" i="1"/>
  <c r="O320" i="1"/>
  <c r="O602" i="1"/>
  <c r="O753" i="1"/>
  <c r="O14" i="1"/>
  <c r="O988" i="1"/>
  <c r="O470" i="1"/>
  <c r="O713" i="1"/>
  <c r="O203" i="1"/>
  <c r="O225" i="1"/>
  <c r="O774" i="1"/>
  <c r="O249" i="1"/>
  <c r="O735" i="1"/>
  <c r="O99" i="1"/>
  <c r="O946" i="1"/>
  <c r="O321" i="1"/>
  <c r="O879" i="1"/>
  <c r="O795" i="1"/>
  <c r="O902" i="1"/>
  <c r="O541" i="1"/>
  <c r="O796" i="1"/>
  <c r="O81" i="1"/>
  <c r="O966" i="1"/>
  <c r="O736" i="1"/>
  <c r="O152" i="1"/>
  <c r="O967" i="1"/>
  <c r="O603" i="1"/>
  <c r="O989" i="1"/>
  <c r="O226" i="1"/>
  <c r="O815" i="1"/>
  <c r="O660" i="1"/>
  <c r="O816" i="1"/>
  <c r="O775" i="1"/>
  <c r="O695" i="1"/>
  <c r="O520" i="1"/>
  <c r="O204" i="1"/>
  <c r="O267" i="1"/>
  <c r="O384" i="1"/>
  <c r="O363" i="1"/>
  <c r="O903" i="1"/>
  <c r="O82" i="1"/>
  <c r="O714" i="1"/>
  <c r="O776" i="1"/>
  <c r="O817" i="1"/>
  <c r="O295" i="1"/>
  <c r="O754" i="1"/>
  <c r="O268" i="1"/>
  <c r="O269" i="1"/>
  <c r="O990" i="1"/>
  <c r="O153" i="1"/>
  <c r="O567" i="1"/>
  <c r="O404" i="1"/>
  <c r="O838" i="1"/>
  <c r="O777" i="1"/>
  <c r="O138" i="1"/>
  <c r="O227" i="1"/>
  <c r="O715" i="1"/>
  <c r="O385" i="1"/>
  <c r="O270" i="1"/>
  <c r="O585" i="1"/>
  <c r="O228" i="1"/>
  <c r="O904" i="1"/>
  <c r="O617" i="1"/>
  <c r="O716" i="1"/>
  <c r="O471" i="1"/>
  <c r="O927" i="1"/>
  <c r="O495" i="1"/>
  <c r="O58" i="1"/>
  <c r="O120" i="1"/>
  <c r="O496" i="1"/>
  <c r="O634" i="1"/>
  <c r="O154" i="1"/>
  <c r="O839" i="1"/>
  <c r="O182" i="1"/>
  <c r="O155" i="1"/>
  <c r="O717" i="1"/>
  <c r="O342" i="1"/>
  <c r="O205" i="1"/>
  <c r="O322" i="1"/>
  <c r="O542" i="1"/>
  <c r="O696" i="1"/>
  <c r="O323" i="1"/>
  <c r="O497" i="1"/>
  <c r="O661" i="1"/>
  <c r="O324" i="1"/>
  <c r="O15" i="1"/>
  <c r="O968" i="1"/>
  <c r="O718" i="1"/>
  <c r="O156" i="1"/>
  <c r="O157" i="1"/>
  <c r="O183" i="1"/>
  <c r="O880" i="1"/>
  <c r="O881" i="1"/>
  <c r="O947" i="1"/>
  <c r="O854" i="1"/>
  <c r="O840" i="1"/>
  <c r="O121" i="1"/>
  <c r="O697" i="1"/>
  <c r="O16" i="1"/>
  <c r="O405" i="1"/>
  <c r="O325" i="1"/>
  <c r="O386" i="1"/>
  <c r="O184" i="1"/>
  <c r="O447" i="1"/>
  <c r="O250" i="1"/>
  <c r="O406" i="1"/>
  <c r="O206" i="1"/>
  <c r="O326" i="1"/>
  <c r="O229" i="1"/>
  <c r="O448" i="1"/>
  <c r="O327" i="1"/>
  <c r="O928" i="1"/>
  <c r="O568" i="1"/>
  <c r="O969" i="1"/>
  <c r="O797" i="1"/>
  <c r="O905" i="1"/>
  <c r="O798" i="1"/>
  <c r="O328" i="1"/>
  <c r="O207" i="1"/>
  <c r="O737" i="1"/>
  <c r="O364" i="1"/>
  <c r="O17" i="1"/>
  <c r="O251" i="1"/>
  <c r="O59" i="1"/>
  <c r="O521" i="1"/>
  <c r="O698" i="1"/>
  <c r="O407" i="1"/>
  <c r="O841" i="1"/>
  <c r="O906" i="1"/>
  <c r="O408" i="1"/>
  <c r="O18" i="1"/>
  <c r="O929" i="1"/>
  <c r="O755" i="1"/>
  <c r="O60" i="1"/>
  <c r="O970" i="1"/>
  <c r="O449" i="1"/>
  <c r="O365" i="1"/>
  <c r="O252" i="1"/>
  <c r="O253" i="1"/>
  <c r="O472" i="1"/>
  <c r="O100" i="1"/>
  <c r="O450" i="1"/>
  <c r="O907" i="1"/>
  <c r="O604" i="1"/>
  <c r="O778" i="1"/>
  <c r="O799" i="1"/>
  <c r="O158" i="1"/>
  <c r="O208" i="1"/>
  <c r="O882" i="1"/>
  <c r="O842" i="1"/>
  <c r="O543" i="1"/>
  <c r="O19" i="1"/>
  <c r="O473" i="1"/>
  <c r="O37" i="1"/>
  <c r="O101" i="1"/>
  <c r="O756" i="1"/>
  <c r="O474" i="1"/>
  <c r="O738" i="1"/>
  <c r="O159" i="1"/>
  <c r="O635" i="1"/>
  <c r="O498" i="1"/>
  <c r="O329" i="1"/>
  <c r="O20" i="1"/>
  <c r="O160" i="1"/>
  <c r="O102" i="1"/>
  <c r="O757" i="1"/>
  <c r="O83" i="1"/>
  <c r="O254" i="1"/>
  <c r="O930" i="1"/>
  <c r="O908" i="1"/>
  <c r="O230" i="1"/>
  <c r="O843" i="1"/>
  <c r="O122" i="1"/>
  <c r="O433" i="1"/>
  <c r="O366" i="1"/>
  <c r="O818" i="1"/>
  <c r="O409" i="1"/>
  <c r="O719" i="1"/>
  <c r="O161" i="1"/>
  <c r="O139" i="1"/>
  <c r="O569" i="1"/>
  <c r="O779" i="1"/>
  <c r="O544" i="1"/>
  <c r="O991" i="1"/>
  <c r="O38" i="1"/>
  <c r="O231" i="1"/>
  <c r="O586" i="1"/>
  <c r="O475" i="1"/>
  <c r="O39" i="1"/>
  <c r="O255" i="1"/>
  <c r="O545" i="1"/>
  <c r="O992" i="1"/>
  <c r="O162" i="1"/>
  <c r="O699" i="1"/>
  <c r="O587" i="1"/>
  <c r="O21" i="1"/>
  <c r="O819" i="1"/>
  <c r="O820" i="1"/>
  <c r="O800" i="1"/>
  <c r="O476" i="1"/>
  <c r="O140" i="1"/>
  <c r="O271" i="1"/>
  <c r="O499" i="1"/>
  <c r="O477" i="1"/>
  <c r="O780" i="1"/>
  <c r="O209" i="1"/>
  <c r="O971" i="1"/>
  <c r="O855" i="1"/>
  <c r="O636" i="1"/>
  <c r="O451" i="1"/>
  <c r="O296" i="1"/>
  <c r="O452" i="1"/>
  <c r="O662" i="1"/>
  <c r="O103" i="1"/>
  <c r="O84" i="1"/>
  <c r="O522" i="1"/>
  <c r="O500" i="1"/>
  <c r="O856" i="1"/>
  <c r="O883" i="1"/>
  <c r="O523" i="1"/>
  <c r="O330" i="1"/>
  <c r="O410" i="1"/>
  <c r="O104" i="1"/>
  <c r="O570" i="1"/>
  <c r="O478" i="1"/>
  <c r="O434" i="1"/>
  <c r="O588" i="1"/>
  <c r="O857" i="1"/>
  <c r="O663" i="1"/>
  <c r="O605" i="1"/>
  <c r="O141" i="1"/>
  <c r="O606" i="1"/>
  <c r="O571" i="1"/>
  <c r="O435" i="1"/>
  <c r="O163" i="1"/>
  <c r="O858" i="1"/>
  <c r="O993" i="1"/>
  <c r="O343" i="1"/>
  <c r="O739" i="1"/>
  <c r="O387" i="1"/>
  <c r="O546" i="1"/>
  <c r="O618" i="1"/>
  <c r="O344" i="1"/>
  <c r="O388" i="1"/>
  <c r="O411" i="1"/>
  <c r="O61" i="1"/>
  <c r="O412" i="1"/>
  <c r="O389" i="1"/>
  <c r="O680" i="1"/>
  <c r="O164" i="1"/>
  <c r="O619" i="1"/>
  <c r="O637" i="1"/>
  <c r="O994" i="1"/>
  <c r="O720" i="1"/>
  <c r="O22" i="1"/>
  <c r="O972" i="1"/>
  <c r="O436" i="1"/>
  <c r="O390" i="1"/>
  <c r="O210" i="1"/>
  <c r="O931" i="1"/>
  <c r="O995" i="1"/>
  <c r="O844" i="1"/>
  <c r="O413" i="1"/>
  <c r="O185" i="1"/>
  <c r="O948" i="1"/>
  <c r="O345" i="1"/>
  <c r="O801" i="1"/>
  <c r="O802" i="1"/>
  <c r="O620" i="1"/>
  <c r="O40" i="1"/>
  <c r="O297" i="1"/>
  <c r="O331" i="1"/>
  <c r="O547" i="1"/>
  <c r="O437" i="1"/>
  <c r="O346" i="1"/>
  <c r="O859" i="1"/>
  <c r="O414" i="1"/>
  <c r="O845" i="1"/>
  <c r="O996" i="1"/>
  <c r="O949" i="1"/>
  <c r="O524" i="1"/>
  <c r="O548" i="1"/>
  <c r="O846" i="1"/>
  <c r="O23" i="1"/>
  <c r="O232" i="1"/>
  <c r="O950" i="1"/>
  <c r="O332" i="1"/>
  <c r="O438" i="1"/>
  <c r="O24" i="1"/>
  <c r="O847" i="1"/>
  <c r="O298" i="1"/>
  <c r="O272" i="1"/>
  <c r="O347" i="1"/>
  <c r="O525" i="1"/>
  <c r="O721" i="1"/>
  <c r="O348" i="1"/>
  <c r="O41" i="1"/>
  <c r="O105" i="1"/>
  <c r="O681" i="1"/>
  <c r="O932" i="1"/>
  <c r="O233" i="1"/>
  <c r="O589" i="1"/>
  <c r="O722" i="1"/>
  <c r="O367" i="1"/>
  <c r="O638" i="1"/>
  <c r="O860" i="1"/>
  <c r="O803" i="1"/>
  <c r="O861" i="1"/>
  <c r="O333" i="1"/>
  <c r="O549" i="1"/>
  <c r="O590" i="1"/>
  <c r="O621" i="1"/>
  <c r="O622" i="1"/>
  <c r="O256" i="1"/>
  <c r="O415" i="1"/>
  <c r="O639" i="1"/>
  <c r="O973" i="1"/>
  <c r="O997" i="1"/>
  <c r="O25" i="1"/>
  <c r="O909" i="1"/>
  <c r="O607" i="1"/>
  <c r="O781" i="1"/>
  <c r="O123" i="1"/>
  <c r="O974" i="1"/>
  <c r="O951" i="1"/>
  <c r="O550" i="1"/>
  <c r="O758" i="1"/>
  <c r="O608" i="1"/>
  <c r="O910" i="1"/>
  <c r="O234" i="1"/>
  <c r="O211" i="1"/>
  <c r="O391" i="1"/>
  <c r="O821" i="1"/>
  <c r="O299" i="1"/>
  <c r="O85" i="1"/>
  <c r="O273" i="1"/>
  <c r="O572" i="1"/>
  <c r="O86" i="1"/>
  <c r="O526" i="1"/>
  <c r="O664" i="1"/>
  <c r="O804" i="1"/>
  <c r="O392" i="1"/>
  <c r="O42" i="1"/>
  <c r="O551" i="1"/>
  <c r="O349" i="1"/>
  <c r="O665" i="1"/>
  <c r="O666" i="1"/>
  <c r="O723" i="1"/>
  <c r="O822" i="1"/>
  <c r="O165" i="1"/>
  <c r="O975" i="1"/>
  <c r="O62" i="1"/>
  <c r="O501" i="1"/>
  <c r="O186" i="1"/>
  <c r="O823" i="1"/>
  <c r="O573" i="1"/>
  <c r="O106" i="1"/>
  <c r="O43" i="1"/>
  <c r="O933" i="1"/>
  <c r="O479" i="1"/>
  <c r="O416" i="1"/>
  <c r="O63" i="1"/>
  <c r="O300" i="1"/>
  <c r="O552" i="1"/>
  <c r="O235" i="1"/>
  <c r="O782" i="1"/>
  <c r="O884" i="1"/>
  <c r="O640" i="1"/>
  <c r="O591" i="1"/>
  <c r="O124" i="1"/>
  <c r="O257" i="1"/>
  <c r="O142" i="1"/>
  <c r="O212" i="1"/>
  <c r="O301" i="1"/>
  <c r="O667" i="1"/>
  <c r="O236" i="1"/>
  <c r="O502" i="1"/>
  <c r="O213" i="1"/>
  <c r="O759" i="1"/>
  <c r="O553" i="1"/>
  <c r="O125" i="1"/>
  <c r="O574" i="1"/>
  <c r="O592" i="1"/>
  <c r="O453" i="1"/>
  <c r="O368" i="1"/>
  <c r="O885" i="1"/>
  <c r="O454" i="1"/>
  <c r="O166" i="1"/>
  <c r="O302" i="1"/>
  <c r="O760" i="1"/>
  <c r="O64" i="1"/>
  <c r="O862" i="1"/>
  <c r="O805" i="1"/>
  <c r="O65" i="1"/>
  <c r="O668" i="1"/>
  <c r="O480" i="1"/>
  <c r="O593" i="1"/>
  <c r="O439" i="1"/>
  <c r="O44" i="1"/>
  <c r="O976" i="1"/>
  <c r="O107" i="1"/>
  <c r="O998" i="1"/>
  <c r="O258" i="1"/>
  <c r="O481" i="1"/>
  <c r="O417" i="1"/>
  <c r="O594" i="1"/>
  <c r="O783" i="1"/>
  <c r="O167" i="1"/>
  <c r="O784" i="1"/>
  <c r="O259" i="1"/>
  <c r="O187" i="1"/>
  <c r="O168" i="1"/>
  <c r="O274" i="1"/>
  <c r="O303" i="1"/>
  <c r="O26" i="1"/>
  <c r="O527" i="1"/>
  <c r="O575" i="1"/>
  <c r="O911" i="1"/>
  <c r="O334" i="1"/>
  <c r="O260" i="1"/>
  <c r="O27" i="1"/>
  <c r="O609" i="1"/>
  <c r="O623" i="1"/>
  <c r="O275" i="1"/>
  <c r="O108" i="1"/>
  <c r="O669" i="1"/>
  <c r="O66" i="1"/>
  <c r="O109" i="1"/>
  <c r="O304" i="1"/>
  <c r="O824" i="1"/>
  <c r="O482" i="1"/>
  <c r="O977" i="1"/>
  <c r="O825" i="1"/>
  <c r="O826" i="1"/>
  <c r="O169" i="1"/>
  <c r="O670" i="1"/>
  <c r="O999" i="1"/>
  <c r="O503" i="1"/>
  <c r="O110" i="1"/>
  <c r="O170" i="1"/>
  <c r="O126" i="1"/>
  <c r="O504" i="1"/>
  <c r="O188" i="1"/>
  <c r="O276" i="1"/>
  <c r="O952" i="1"/>
  <c r="O237" i="1"/>
  <c r="O87" i="1"/>
  <c r="O88" i="1"/>
  <c r="O393" i="1"/>
  <c r="O214" i="1"/>
  <c r="O305" i="1"/>
  <c r="O761" i="1"/>
  <c r="O624" i="1"/>
  <c r="O238" i="1"/>
  <c r="O89" i="1"/>
  <c r="O671" i="1"/>
  <c r="O806" i="1"/>
  <c r="O28" i="1"/>
  <c r="O762" i="1"/>
  <c r="O682" i="1"/>
  <c r="O528" i="1"/>
  <c r="O625" i="1"/>
  <c r="O848" i="1"/>
  <c r="O369" i="1"/>
  <c r="O595" i="1"/>
  <c r="O672" i="1"/>
  <c r="O554" i="1"/>
  <c r="O239" i="1"/>
  <c r="O683" i="1"/>
  <c r="O886" i="1"/>
  <c r="O849" i="1"/>
  <c r="O505" i="1"/>
  <c r="O641" i="1"/>
  <c r="O506" i="1"/>
  <c r="O763" i="1"/>
  <c r="O700" i="1"/>
  <c r="O483" i="1"/>
  <c r="O143" i="1"/>
  <c r="O67" i="1"/>
  <c r="O484" i="1"/>
  <c r="O29" i="1"/>
  <c r="O350" i="1"/>
  <c r="O807" i="1"/>
  <c r="O684" i="1"/>
  <c r="O863" i="1"/>
  <c r="O673" i="1"/>
  <c r="O555" i="1"/>
  <c r="O485" i="1"/>
  <c r="O596" i="1"/>
  <c r="O576" i="1"/>
  <c r="O864" i="1"/>
  <c r="O724" i="1"/>
  <c r="O701" i="1"/>
  <c r="O865" i="1"/>
  <c r="O827" i="1"/>
  <c r="O850" i="1"/>
  <c r="O556" i="1"/>
  <c r="O418" i="1"/>
  <c r="O642" i="1"/>
  <c r="O370" i="1"/>
  <c r="O394" i="1"/>
  <c r="O189" i="1"/>
  <c r="O277" i="1"/>
  <c r="O643" i="1"/>
  <c r="O127" i="1"/>
  <c r="O190" i="1"/>
  <c r="O674" i="1"/>
  <c r="O725" i="1"/>
  <c r="O371" i="1"/>
  <c r="O529" i="1"/>
  <c r="O278" i="1"/>
  <c r="O90" i="1"/>
  <c r="O68" i="1"/>
  <c r="O306" i="1"/>
  <c r="O953" i="1"/>
  <c r="O240" i="1"/>
  <c r="O111" i="1"/>
  <c r="O171" i="1"/>
  <c r="O486" i="1"/>
  <c r="O557" i="1"/>
  <c r="O91" i="1"/>
  <c r="O191" i="1"/>
  <c r="O702" i="1"/>
  <c r="O934" i="1"/>
  <c r="O419" i="1"/>
  <c r="O577" i="1"/>
  <c r="O507" i="1"/>
  <c r="O740" i="1"/>
  <c r="O644" i="1"/>
  <c r="O335" i="1"/>
  <c r="O685" i="1"/>
  <c r="O69" i="1"/>
  <c r="O128" i="1"/>
  <c r="O92" i="1"/>
  <c r="O978" i="1"/>
  <c r="O279" i="1"/>
  <c r="O129" i="1"/>
  <c r="O307" i="1"/>
  <c r="O395" i="1"/>
  <c r="O741" i="1"/>
  <c r="O742" i="1"/>
  <c r="O645" i="1"/>
  <c r="O351" i="1"/>
  <c r="O352" i="1"/>
  <c r="O280" i="1"/>
  <c r="O192" i="1"/>
  <c r="O45" i="1"/>
  <c r="O420" i="1"/>
  <c r="O421" i="1"/>
  <c r="O93" i="1"/>
  <c r="O686" i="1"/>
  <c r="O94" i="1"/>
  <c r="O30" i="1"/>
  <c r="O808" i="1"/>
  <c r="O396" i="1"/>
  <c r="O508" i="1"/>
  <c r="O193" i="1"/>
  <c r="O610" i="1"/>
  <c r="O912" i="1"/>
  <c r="O1000" i="1"/>
  <c r="O397" i="1"/>
  <c r="O954" i="1"/>
  <c r="O70" i="1"/>
  <c r="O726" i="1"/>
  <c r="O398" i="1"/>
  <c r="O935" i="1"/>
  <c r="O646" i="1"/>
  <c r="O241" i="1"/>
  <c r="O509" i="1"/>
  <c r="O1001" i="1"/>
  <c r="O46" i="1"/>
  <c r="O703" i="1"/>
  <c r="O828" i="1"/>
  <c r="O704" i="1"/>
  <c r="O530" i="1"/>
  <c r="O936" i="1"/>
  <c r="O764" i="1"/>
  <c r="O242" i="1"/>
  <c r="O243" i="1"/>
  <c r="O112" i="1"/>
  <c r="O887" i="1"/>
  <c r="O194" i="1"/>
  <c r="O47" i="1"/>
  <c r="O531" i="1"/>
  <c r="O785" i="1"/>
  <c r="O743" i="1"/>
  <c r="O308" i="1"/>
  <c r="O510" i="1"/>
  <c r="O866" i="1"/>
  <c r="O937" i="1"/>
  <c r="O851" i="1"/>
  <c r="O611" i="1"/>
  <c r="O422" i="1"/>
  <c r="O71" i="1"/>
  <c r="O48" i="1"/>
  <c r="O809" i="1"/>
  <c r="O113" i="1"/>
  <c r="O309" i="1"/>
  <c r="O487" i="1"/>
  <c r="O144" i="1"/>
  <c r="O955" i="1"/>
  <c r="O888" i="1"/>
  <c r="O913" i="1"/>
  <c r="O914" i="1"/>
  <c r="O31" i="1"/>
  <c r="O558" i="1"/>
  <c r="O829" i="1"/>
  <c r="O281" i="1"/>
  <c r="O612" i="1"/>
  <c r="O130" i="1"/>
  <c r="O282" i="1"/>
  <c r="O647" i="1"/>
  <c r="O675" i="1"/>
  <c r="O532" i="1"/>
  <c r="O956" i="1"/>
  <c r="O353" i="1"/>
  <c r="O283" i="1"/>
  <c r="O215" i="1"/>
  <c r="O744" i="1"/>
  <c r="O32" i="1"/>
  <c r="O511" i="1"/>
  <c r="O830" i="1"/>
  <c r="O938" i="1"/>
  <c r="O727" i="1"/>
  <c r="O244" i="1"/>
  <c r="O310" i="1"/>
  <c r="O786" i="1"/>
  <c r="O145" i="1"/>
  <c r="O957" i="1"/>
  <c r="O440" i="1"/>
  <c r="O423" i="1"/>
  <c r="O831" i="1"/>
  <c r="O958" i="1"/>
  <c r="O512" i="1"/>
  <c r="O311" i="1"/>
  <c r="O765" i="1"/>
  <c r="O131" i="1"/>
  <c r="O832" i="1"/>
  <c r="O705" i="1"/>
  <c r="O172" i="1"/>
  <c r="O513" i="1"/>
  <c r="O915" i="1"/>
  <c r="O787" i="1"/>
  <c r="O312" i="1"/>
  <c r="O533" i="1"/>
  <c r="O706" i="1"/>
  <c r="O216" i="1"/>
  <c r="O852" i="1"/>
  <c r="O916" i="1"/>
  <c r="O488" i="1"/>
  <c r="O648" i="1"/>
  <c r="O889" i="1"/>
  <c r="O245" i="1"/>
  <c r="O745" i="1"/>
  <c r="O441" i="1"/>
  <c r="O917" i="1"/>
  <c r="O746" i="1"/>
  <c r="O676" i="1"/>
  <c r="O173" i="1"/>
  <c r="O72" i="1"/>
  <c r="O354" i="1"/>
  <c r="O424" i="1"/>
  <c r="O959" i="1"/>
  <c r="O174" i="1"/>
  <c r="O313" i="1"/>
  <c r="O175" i="1"/>
  <c r="O455" i="1"/>
  <c r="O747" i="1"/>
  <c r="O73" i="1"/>
  <c r="O336" i="1"/>
  <c r="O890" i="1"/>
  <c r="O534" i="1"/>
  <c r="O626" i="1"/>
  <c r="O687" i="1"/>
  <c r="O176" i="1"/>
  <c r="O442" i="1"/>
  <c r="O337" i="1"/>
  <c r="O146" i="1"/>
  <c r="O748" i="1"/>
  <c r="O114" i="1"/>
  <c r="O74" i="1"/>
  <c r="O514" i="1"/>
  <c r="O132" i="1"/>
  <c r="O261" i="1"/>
  <c r="O456" i="1"/>
  <c r="O217" i="1"/>
  <c r="O867" i="1"/>
  <c r="O918" i="1"/>
  <c r="O115" i="1"/>
  <c r="O75" i="1"/>
  <c r="O372" i="1"/>
  <c r="O559" i="1"/>
  <c r="O133" i="1"/>
  <c r="O810" i="1"/>
  <c r="O355" i="1"/>
  <c r="O116" i="1"/>
  <c r="O399" i="1"/>
  <c r="O195" i="1"/>
  <c r="O373" i="1"/>
  <c r="O649" i="1"/>
  <c r="O262" i="1"/>
  <c r="O979" i="1"/>
  <c r="O728" i="1"/>
  <c r="O749" i="1"/>
  <c r="O425" i="1"/>
  <c r="O766" i="1"/>
  <c r="O196" i="1"/>
  <c r="O980" i="1"/>
  <c r="O356" i="1"/>
  <c r="O750" i="1"/>
  <c r="O49" i="1"/>
  <c r="O457" i="1"/>
  <c r="O147" i="1"/>
  <c r="O677" i="1"/>
  <c r="O177" i="1"/>
  <c r="O374" i="1"/>
  <c r="O314" i="1"/>
  <c r="O535" i="1"/>
  <c r="O76" i="1"/>
  <c r="O284" i="1"/>
  <c r="O891" i="1"/>
  <c r="O627" i="1"/>
  <c r="O400" i="1"/>
  <c r="N811" i="1"/>
  <c r="N315" i="1"/>
  <c r="N597" i="1"/>
  <c r="O597" i="1" s="1"/>
  <c r="N729" i="1"/>
  <c r="O729" i="1" s="1"/>
  <c r="N426" i="1"/>
  <c r="O426" i="1" s="1"/>
  <c r="N401" i="1"/>
  <c r="O401" i="1" s="1"/>
  <c r="N730" i="1"/>
  <c r="O730" i="1" s="1"/>
  <c r="N33" i="1"/>
  <c r="O33" i="1" s="1"/>
  <c r="N263" i="1"/>
  <c r="O263" i="1" s="1"/>
  <c r="N868" i="1"/>
  <c r="O868" i="1" s="1"/>
  <c r="N628" i="1"/>
  <c r="O628" i="1" s="1"/>
  <c r="N892" i="1"/>
  <c r="O892" i="1" s="1"/>
  <c r="N2" i="1"/>
  <c r="O2" i="1" s="1"/>
  <c r="N489" i="1"/>
  <c r="O489" i="1" s="1"/>
  <c r="N960" i="1"/>
  <c r="O960" i="1" s="1"/>
  <c r="N788" i="1"/>
  <c r="O788" i="1" s="1"/>
  <c r="N375" i="1"/>
  <c r="O375" i="1" s="1"/>
  <c r="N50" i="1"/>
  <c r="O50" i="1" s="1"/>
  <c r="N893" i="1"/>
  <c r="O893" i="1" s="1"/>
  <c r="N316" i="1"/>
  <c r="O316" i="1" s="1"/>
  <c r="N981" i="1"/>
  <c r="O981" i="1" s="1"/>
  <c r="N629" i="1"/>
  <c r="O629" i="1" s="1"/>
  <c r="N338" i="1"/>
  <c r="O338" i="1" s="1"/>
  <c r="N3" i="1"/>
  <c r="O3" i="1" s="1"/>
  <c r="N767" i="1"/>
  <c r="O767" i="1" s="1"/>
  <c r="N578" i="1"/>
  <c r="O578" i="1" s="1"/>
  <c r="N458" i="1"/>
  <c r="O458" i="1" s="1"/>
  <c r="N490" i="1"/>
  <c r="O490" i="1" s="1"/>
  <c r="N560" i="1"/>
  <c r="O560" i="1" s="1"/>
  <c r="N443" i="1"/>
  <c r="O443" i="1" s="1"/>
  <c r="N731" i="1"/>
  <c r="O731" i="1" s="1"/>
  <c r="N317" i="1"/>
  <c r="O317" i="1" s="1"/>
  <c r="N285" i="1"/>
  <c r="O285" i="1" s="1"/>
  <c r="N134" i="1"/>
  <c r="O134" i="1" s="1"/>
  <c r="N264" i="1"/>
  <c r="O264" i="1" s="1"/>
  <c r="N982" i="1"/>
  <c r="O982" i="1" s="1"/>
  <c r="N579" i="1"/>
  <c r="O579" i="1" s="1"/>
  <c r="N869" i="1"/>
  <c r="O869" i="1" s="1"/>
  <c r="N427" i="1"/>
  <c r="O427" i="1" s="1"/>
  <c r="N651" i="1"/>
  <c r="O651" i="1" s="1"/>
  <c r="N894" i="1"/>
  <c r="O894" i="1" s="1"/>
  <c r="N357" i="1"/>
  <c r="O357" i="1" s="1"/>
  <c r="N895" i="1"/>
  <c r="O895" i="1" s="1"/>
  <c r="N197" i="1"/>
  <c r="O197" i="1" s="1"/>
  <c r="N939" i="1"/>
  <c r="O939" i="1" s="1"/>
  <c r="N536" i="1"/>
  <c r="O536" i="1" s="1"/>
  <c r="N218" i="1"/>
  <c r="O218" i="1" s="1"/>
  <c r="N219" i="1"/>
  <c r="O219" i="1" s="1"/>
  <c r="N789" i="1"/>
  <c r="O789" i="1" s="1"/>
  <c r="N790" i="1"/>
  <c r="O790" i="1" s="1"/>
  <c r="N613" i="1"/>
  <c r="O613" i="1" s="1"/>
  <c r="N652" i="1"/>
  <c r="O652" i="1" s="1"/>
  <c r="N580" i="1"/>
  <c r="O580" i="1" s="1"/>
  <c r="N707" i="1"/>
  <c r="O707" i="1" s="1"/>
  <c r="N812" i="1"/>
  <c r="O812" i="1" s="1"/>
  <c r="N34" i="1"/>
  <c r="O34" i="1" s="1"/>
  <c r="N983" i="1"/>
  <c r="O983" i="1" s="1"/>
  <c r="N51" i="1"/>
  <c r="O51" i="1" s="1"/>
  <c r="N732" i="1"/>
  <c r="O732" i="1" s="1"/>
  <c r="N919" i="1"/>
  <c r="O919" i="1" s="1"/>
  <c r="N984" i="1"/>
  <c r="O984" i="1" s="1"/>
  <c r="N148" i="1"/>
  <c r="O148" i="1" s="1"/>
  <c r="N339" i="1"/>
  <c r="O339" i="1" s="1"/>
  <c r="N286" i="1"/>
  <c r="O286" i="1" s="1"/>
  <c r="N428" i="1"/>
  <c r="O428" i="1" s="1"/>
  <c r="N358" i="1"/>
  <c r="O358" i="1" s="1"/>
  <c r="N833" i="1"/>
  <c r="O833" i="1" s="1"/>
  <c r="N178" i="1"/>
  <c r="O178" i="1" s="1"/>
  <c r="N459" i="1"/>
  <c r="O459" i="1" s="1"/>
  <c r="N287" i="1"/>
  <c r="O287" i="1" s="1"/>
  <c r="N940" i="1"/>
  <c r="O940" i="1" s="1"/>
  <c r="N751" i="1"/>
  <c r="O751" i="1" s="1"/>
  <c r="N985" i="1"/>
  <c r="O985" i="1" s="1"/>
  <c r="N77" i="1"/>
  <c r="O77" i="1" s="1"/>
  <c r="N896" i="1"/>
  <c r="O896" i="1" s="1"/>
  <c r="N376" i="1"/>
  <c r="O376" i="1" s="1"/>
  <c r="N377" i="1"/>
  <c r="O377" i="1" s="1"/>
  <c r="N653" i="1"/>
  <c r="O653" i="1" s="1"/>
  <c r="N4" i="1"/>
  <c r="O4" i="1" s="1"/>
  <c r="N537" i="1"/>
  <c r="O537" i="1" s="1"/>
  <c r="N688" i="1"/>
  <c r="O688" i="1" s="1"/>
  <c r="N220" i="1"/>
  <c r="O220" i="1" s="1"/>
  <c r="N581" i="1"/>
  <c r="O581" i="1" s="1"/>
  <c r="N708" i="1"/>
  <c r="O708" i="1" s="1"/>
  <c r="N961" i="1"/>
  <c r="O961" i="1" s="1"/>
  <c r="N768" i="1"/>
  <c r="O768" i="1" s="1"/>
  <c r="N179" i="1"/>
  <c r="O179" i="1" s="1"/>
  <c r="N198" i="1"/>
  <c r="O198" i="1" s="1"/>
  <c r="N288" i="1"/>
  <c r="O288" i="1" s="1"/>
  <c r="N199" i="1"/>
  <c r="O199" i="1" s="1"/>
  <c r="N289" i="1"/>
  <c r="O289" i="1" s="1"/>
  <c r="N630" i="1"/>
  <c r="O630" i="1" s="1"/>
  <c r="N378" i="1"/>
  <c r="O378" i="1" s="1"/>
  <c r="N689" i="1"/>
  <c r="O689" i="1" s="1"/>
  <c r="N444" i="1"/>
  <c r="O444" i="1" s="1"/>
  <c r="N290" i="1"/>
  <c r="O290" i="1" s="1"/>
  <c r="N200" i="1"/>
  <c r="O200" i="1" s="1"/>
  <c r="N318" i="1"/>
  <c r="O318" i="1" s="1"/>
  <c r="N515" i="1"/>
  <c r="O515" i="1" s="1"/>
  <c r="N690" i="1"/>
  <c r="O690" i="1" s="1"/>
  <c r="N379" i="1"/>
  <c r="O379" i="1" s="1"/>
  <c r="N117" i="1"/>
  <c r="O117" i="1" s="1"/>
  <c r="N654" i="1"/>
  <c r="O654" i="1" s="1"/>
  <c r="N897" i="1"/>
  <c r="O897" i="1" s="1"/>
  <c r="N402" i="1"/>
  <c r="O402" i="1" s="1"/>
  <c r="N920" i="1"/>
  <c r="O920" i="1" s="1"/>
  <c r="N791" i="1"/>
  <c r="O791" i="1" s="1"/>
  <c r="N655" i="1"/>
  <c r="O655" i="1" s="1"/>
  <c r="N792" i="1"/>
  <c r="O792" i="1" s="1"/>
  <c r="N656" i="1"/>
  <c r="O656" i="1" s="1"/>
  <c r="N598" i="1"/>
  <c r="O598" i="1" s="1"/>
  <c r="N516" i="1"/>
  <c r="O516" i="1" s="1"/>
  <c r="N898" i="1"/>
  <c r="O898" i="1" s="1"/>
  <c r="N291" i="1"/>
  <c r="O291" i="1" s="1"/>
  <c r="N870" i="1"/>
  <c r="O870" i="1" s="1"/>
  <c r="N962" i="1"/>
  <c r="O962" i="1" s="1"/>
  <c r="N733" i="1"/>
  <c r="O733" i="1" s="1"/>
  <c r="N95" i="1"/>
  <c r="O95" i="1" s="1"/>
  <c r="N96" i="1"/>
  <c r="O96" i="1" s="1"/>
  <c r="N769" i="1"/>
  <c r="O769" i="1" s="1"/>
  <c r="N5" i="1"/>
  <c r="O5" i="1" s="1"/>
  <c r="N538" i="1"/>
  <c r="O538" i="1" s="1"/>
  <c r="N678" i="1"/>
  <c r="O678" i="1" s="1"/>
  <c r="N359" i="1"/>
  <c r="O359" i="1" s="1"/>
  <c r="N770" i="1"/>
  <c r="O770" i="1" s="1"/>
  <c r="N679" i="1"/>
  <c r="O679" i="1" s="1"/>
  <c r="N834" i="1"/>
  <c r="O834" i="1" s="1"/>
  <c r="N921" i="1"/>
  <c r="O921" i="1" s="1"/>
  <c r="N149" i="1"/>
  <c r="O149" i="1" s="1"/>
  <c r="N922" i="1"/>
  <c r="O922" i="1" s="1"/>
  <c r="N491" i="1"/>
  <c r="O491" i="1" s="1"/>
  <c r="N941" i="1"/>
  <c r="O941" i="1" s="1"/>
  <c r="N340" i="1"/>
  <c r="O340" i="1" s="1"/>
  <c r="N942" i="1"/>
  <c r="O942" i="1" s="1"/>
  <c r="N445" i="1"/>
  <c r="O445" i="1" s="1"/>
  <c r="N403" i="1"/>
  <c r="O403" i="1" s="1"/>
  <c r="N341" i="1"/>
  <c r="O341" i="1" s="1"/>
  <c r="N614" i="1"/>
  <c r="O614" i="1" s="1"/>
  <c r="N582" i="1"/>
  <c r="O582" i="1" s="1"/>
  <c r="N899" i="1"/>
  <c r="O899" i="1" s="1"/>
  <c r="N631" i="1"/>
  <c r="O631" i="1" s="1"/>
  <c r="R9" i="1" l="1"/>
  <c r="R11" i="1"/>
  <c r="R10" i="1"/>
  <c r="B12" i="2"/>
  <c r="B11" i="2"/>
  <c r="D2" i="2"/>
  <c r="D11" i="2" s="1"/>
  <c r="C12" i="2"/>
  <c r="U11" i="1"/>
  <c r="O811" i="1"/>
  <c r="U10" i="1"/>
  <c r="O315" i="1"/>
  <c r="D12" i="2" l="1"/>
  <c r="J811" i="1" a="1"/>
  <c r="J81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<sst xmlns="http://schemas.openxmlformats.org/spreadsheetml/2006/main" count="3683" uniqueCount="1093">
  <si>
    <t>Details for Sum of TOTAL SALE - Gender: Male, Product Category: Beauty</t>
  </si>
  <si>
    <t>Transaction ID</t>
  </si>
  <si>
    <t>Day</t>
  </si>
  <si>
    <t xml:space="preserve">Month Name </t>
  </si>
  <si>
    <t>Month</t>
  </si>
  <si>
    <t>Year</t>
  </si>
  <si>
    <t>Date</t>
  </si>
  <si>
    <t>Customer ID</t>
  </si>
  <si>
    <t>Gender</t>
  </si>
  <si>
    <t>Age</t>
  </si>
  <si>
    <t xml:space="preserve">Generation </t>
  </si>
  <si>
    <t>Product Category</t>
  </si>
  <si>
    <t>Quantity</t>
  </si>
  <si>
    <t>Price per Unit</t>
  </si>
  <si>
    <t>TOTAL SALE</t>
  </si>
  <si>
    <t>COMMISION 2023</t>
  </si>
  <si>
    <t>April</t>
  </si>
  <si>
    <t>CUST967</t>
  </si>
  <si>
    <t>Male</t>
  </si>
  <si>
    <t>Beauty</t>
  </si>
  <si>
    <t>February</t>
  </si>
  <si>
    <t>CUST945</t>
  </si>
  <si>
    <t>September</t>
  </si>
  <si>
    <t>CUST855</t>
  </si>
  <si>
    <t>November</t>
  </si>
  <si>
    <t>CUST739</t>
  </si>
  <si>
    <t>June</t>
  </si>
  <si>
    <t>CUST363</t>
  </si>
  <si>
    <t>CUST230</t>
  </si>
  <si>
    <t>CUST204</t>
  </si>
  <si>
    <t>October</t>
  </si>
  <si>
    <t>CUST191</t>
  </si>
  <si>
    <t>May</t>
  </si>
  <si>
    <t>CUST974</t>
  </si>
  <si>
    <t>CUST933</t>
  </si>
  <si>
    <t>CUST874</t>
  </si>
  <si>
    <t>CUST793</t>
  </si>
  <si>
    <t>CUST749</t>
  </si>
  <si>
    <t>CUST747</t>
  </si>
  <si>
    <t>August</t>
  </si>
  <si>
    <t>CUST733</t>
  </si>
  <si>
    <t>CUST670</t>
  </si>
  <si>
    <t>CUST387</t>
  </si>
  <si>
    <t>CUST846</t>
  </si>
  <si>
    <t>CUST040</t>
  </si>
  <si>
    <t>CUST811</t>
  </si>
  <si>
    <t>January</t>
  </si>
  <si>
    <t>CUST505</t>
  </si>
  <si>
    <t>CUST493</t>
  </si>
  <si>
    <t>CUST473</t>
  </si>
  <si>
    <t>CUST460</t>
  </si>
  <si>
    <t>CUST391</t>
  </si>
  <si>
    <t>CUST120</t>
  </si>
  <si>
    <t>CUST189</t>
  </si>
  <si>
    <t>CUST172</t>
  </si>
  <si>
    <t>CUST871</t>
  </si>
  <si>
    <t>CUST573</t>
  </si>
  <si>
    <t>CUST499</t>
  </si>
  <si>
    <t>July</t>
  </si>
  <si>
    <t>CUST495</t>
  </si>
  <si>
    <t>CUST263</t>
  </si>
  <si>
    <t>CUST260</t>
  </si>
  <si>
    <t>December</t>
  </si>
  <si>
    <t>CUST214</t>
  </si>
  <si>
    <t>CUST012</t>
  </si>
  <si>
    <t>CUST767</t>
  </si>
  <si>
    <t>CUST051</t>
  </si>
  <si>
    <t>CUST713</t>
  </si>
  <si>
    <t>CUST644</t>
  </si>
  <si>
    <t>CUST469</t>
  </si>
  <si>
    <t>CUST350</t>
  </si>
  <si>
    <t>CUST997</t>
  </si>
  <si>
    <t>CUST953</t>
  </si>
  <si>
    <t>CUST837</t>
  </si>
  <si>
    <t>CUST032</t>
  </si>
  <si>
    <t>CUST829</t>
  </si>
  <si>
    <t>CUST656</t>
  </si>
  <si>
    <t>CUST535</t>
  </si>
  <si>
    <t>CUST086</t>
  </si>
  <si>
    <t>CUST229</t>
  </si>
  <si>
    <t>CUST218</t>
  </si>
  <si>
    <t>CUST972</t>
  </si>
  <si>
    <t>CUST005</t>
  </si>
  <si>
    <t>CUST951</t>
  </si>
  <si>
    <t>CUST924</t>
  </si>
  <si>
    <t>CUST745</t>
  </si>
  <si>
    <t>CUST062</t>
  </si>
  <si>
    <t>CUST516</t>
  </si>
  <si>
    <t>CUST511</t>
  </si>
  <si>
    <t>CUST492</t>
  </si>
  <si>
    <t>CUST414</t>
  </si>
  <si>
    <t>CUST338</t>
  </si>
  <si>
    <t>March</t>
  </si>
  <si>
    <t>CUST328</t>
  </si>
  <si>
    <t>CUST244</t>
  </si>
  <si>
    <t>CUST192</t>
  </si>
  <si>
    <t>CUST177</t>
  </si>
  <si>
    <t>CUST931</t>
  </si>
  <si>
    <t>CUST796</t>
  </si>
  <si>
    <t>CUST055</t>
  </si>
  <si>
    <t>CUST633</t>
  </si>
  <si>
    <t>CUST598</t>
  </si>
  <si>
    <t>CUST182</t>
  </si>
  <si>
    <t>CUST001</t>
  </si>
  <si>
    <t>CUST912</t>
  </si>
  <si>
    <t>CUST060</t>
  </si>
  <si>
    <t>CUST200</t>
  </si>
  <si>
    <t>CUST961</t>
  </si>
  <si>
    <t>CUST936</t>
  </si>
  <si>
    <t>CUST833</t>
  </si>
  <si>
    <t>CUST817</t>
  </si>
  <si>
    <t>CUST038</t>
  </si>
  <si>
    <t>CUST061</t>
  </si>
  <si>
    <t>CUST075</t>
  </si>
  <si>
    <t>CUST433</t>
  </si>
  <si>
    <t>CUST947</t>
  </si>
  <si>
    <t>CUST905</t>
  </si>
  <si>
    <t>CUST555</t>
  </si>
  <si>
    <t>CUST079</t>
  </si>
  <si>
    <t>CUST378</t>
  </si>
  <si>
    <t>CUST934</t>
  </si>
  <si>
    <t>CUST781</t>
  </si>
  <si>
    <t>CUST760</t>
  </si>
  <si>
    <t>CUST541</t>
  </si>
  <si>
    <t>CUST539</t>
  </si>
  <si>
    <t>CUST220</t>
  </si>
  <si>
    <t>CUST128</t>
  </si>
  <si>
    <t>CUST543</t>
  </si>
  <si>
    <t>CUST508</t>
  </si>
  <si>
    <t>CUST302</t>
  </si>
  <si>
    <t>CUST221</t>
  </si>
  <si>
    <t>CUST923</t>
  </si>
  <si>
    <t>CUST827</t>
  </si>
  <si>
    <t>CUST036</t>
  </si>
  <si>
    <t>CUST727</t>
  </si>
  <si>
    <t>CUST722</t>
  </si>
  <si>
    <t>CUST880</t>
  </si>
  <si>
    <t>CUST853</t>
  </si>
  <si>
    <t>CUST816</t>
  </si>
  <si>
    <t>CUST683</t>
  </si>
  <si>
    <t>CUST662</t>
  </si>
  <si>
    <t>CUST137</t>
  </si>
  <si>
    <t>CUST161</t>
  </si>
  <si>
    <t>CUST908</t>
  </si>
  <si>
    <t>CUST682</t>
  </si>
  <si>
    <t>CUST669</t>
  </si>
  <si>
    <t>CUST648</t>
  </si>
  <si>
    <t>CUST597</t>
  </si>
  <si>
    <t>CUST524</t>
  </si>
  <si>
    <t>CUST441</t>
  </si>
  <si>
    <t>CUST424</t>
  </si>
  <si>
    <t>CUST298</t>
  </si>
  <si>
    <t>CUST292</t>
  </si>
  <si>
    <t>CUST869</t>
  </si>
  <si>
    <t>CUST843</t>
  </si>
  <si>
    <t>CUST693</t>
  </si>
  <si>
    <t>CUST611</t>
  </si>
  <si>
    <t>CUST522</t>
  </si>
  <si>
    <t>CUST506</t>
  </si>
  <si>
    <t>CUST213</t>
  </si>
  <si>
    <t>CUST211</t>
  </si>
  <si>
    <t>CUST199</t>
  </si>
  <si>
    <t>CUST193</t>
  </si>
  <si>
    <t>CUST169</t>
  </si>
  <si>
    <t>CUST832</t>
  </si>
  <si>
    <t>CUST808</t>
  </si>
  <si>
    <t>CUST577</t>
  </si>
  <si>
    <t>CUST503</t>
  </si>
  <si>
    <t>CUST447</t>
  </si>
  <si>
    <t>CUST257</t>
  </si>
  <si>
    <t>CUST139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</si>
  <si>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</si>
  <si>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</si>
  <si>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</si>
  <si>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</si>
  <si>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</si>
  <si>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</si>
  <si>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</si>
  <si>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</si>
  <si>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</si>
  <si>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</si>
  <si>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</si>
  <si>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</si>
  <si>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</si>
  <si>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</si>
  <si>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</si>
  <si>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</si>
  <si>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</si>
  <si>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</si>
  <si>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</si>
  <si>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</si>
  <si>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</si>
  <si>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</si>
  <si>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</si>
  <si>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Sum of TOTAL SALE</t>
  </si>
  <si>
    <t>Clothing</t>
  </si>
  <si>
    <t>Electronics</t>
  </si>
  <si>
    <t>Grand Total</t>
  </si>
  <si>
    <t>Female</t>
  </si>
  <si>
    <t>COMMISION 2024</t>
  </si>
  <si>
    <t>CUST014</t>
  </si>
  <si>
    <t>rate %</t>
  </si>
  <si>
    <t>CUST025</t>
  </si>
  <si>
    <t>Commision Rate2023</t>
  </si>
  <si>
    <t>CUST080</t>
  </si>
  <si>
    <t>Commision Rate2024</t>
  </si>
  <si>
    <t>CUST122</t>
  </si>
  <si>
    <t>CUST163</t>
  </si>
  <si>
    <t>CUST173</t>
  </si>
  <si>
    <t>Total</t>
  </si>
  <si>
    <t>FEMALE</t>
  </si>
  <si>
    <t>MALE</t>
  </si>
  <si>
    <t>AVERGE SALES</t>
  </si>
  <si>
    <t>how many products categorie?</t>
  </si>
  <si>
    <t>CUST187</t>
  </si>
  <si>
    <t xml:space="preserve">Clothing </t>
  </si>
  <si>
    <t>all products</t>
  </si>
  <si>
    <t>CUST223</t>
  </si>
  <si>
    <t>CUST282</t>
  </si>
  <si>
    <t>CUST376</t>
  </si>
  <si>
    <t>CUST399</t>
  </si>
  <si>
    <t>CUST408</t>
  </si>
  <si>
    <t>CUST429</t>
  </si>
  <si>
    <t>CUST440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</si>
  <si>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</si>
  <si>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</si>
  <si>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</si>
  <si>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</si>
  <si>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</si>
  <si>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</si>
  <si>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</si>
  <si>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</si>
  <si>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</si>
  <si>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</si>
  <si>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</si>
  <si>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</si>
  <si>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</si>
  <si>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</si>
  <si>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</si>
  <si>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</si>
  <si>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</si>
  <si>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</si>
  <si>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</si>
  <si>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</si>
  <si>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</si>
  <si>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</si>
  <si>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</si>
  <si>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</si>
  <si>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</si>
  <si>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</si>
  <si>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</si>
  <si>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</si>
  <si>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</si>
  <si>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</si>
  <si>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</si>
  <si>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</si>
  <si>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</si>
  <si>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</si>
  <si>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</si>
  <si>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</si>
  <si>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</si>
  <si>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</si>
  <si>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</si>
  <si>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</si>
  <si>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</si>
  <si>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</si>
  <si>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</si>
  <si>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</si>
  <si>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</si>
  <si>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</si>
  <si>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CUST937</t>
  </si>
  <si>
    <t>CUST946</t>
  </si>
  <si>
    <t>CUST958</t>
  </si>
  <si>
    <t>CUST996</t>
  </si>
  <si>
    <t>CUST206</t>
  </si>
  <si>
    <t>CUST226</t>
  </si>
  <si>
    <t>CUST272</t>
  </si>
  <si>
    <t>CUST299</t>
  </si>
  <si>
    <t>CUST318</t>
  </si>
  <si>
    <t>CUST444</t>
  </si>
  <si>
    <t>CUST612</t>
  </si>
  <si>
    <t>CUST615</t>
  </si>
  <si>
    <t>CUST724</t>
  </si>
  <si>
    <t>CUST725</t>
  </si>
  <si>
    <t>CUST732</t>
  </si>
  <si>
    <t>CUST789</t>
  </si>
  <si>
    <t>CUST798</t>
  </si>
  <si>
    <t>CUST119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</si>
  <si>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</si>
  <si>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</si>
  <si>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</si>
  <si>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</si>
  <si>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</si>
  <si>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</si>
  <si>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</si>
  <si>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</si>
  <si>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</si>
  <si>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</si>
  <si>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</si>
  <si>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</si>
  <si>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</si>
  <si>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</si>
  <si>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</si>
  <si>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</si>
  <si>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</si>
  <si>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</si>
  <si>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</si>
  <si>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</si>
  <si>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</si>
  <si>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</si>
  <si>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</si>
  <si>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</si>
  <si>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</si>
  <si>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</si>
  <si>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</si>
  <si>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</si>
  <si>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</si>
  <si>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</si>
  <si>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</si>
  <si>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</si>
  <si>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</si>
  <si>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</si>
  <si>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</si>
  <si>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</si>
  <si>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</si>
  <si>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</si>
  <si>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</si>
  <si>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CUST332</t>
  </si>
  <si>
    <t>CUST457</t>
  </si>
  <si>
    <t>CUST478</t>
  </si>
  <si>
    <t>CUST649</t>
  </si>
  <si>
    <t>CUST755</t>
  </si>
  <si>
    <t>CUST877</t>
  </si>
  <si>
    <t>CUST955</t>
  </si>
  <si>
    <t>CUST990</t>
  </si>
  <si>
    <t>CUST063</t>
  </si>
  <si>
    <t>CUST130</t>
  </si>
  <si>
    <t>CUST225</t>
  </si>
  <si>
    <t>CUST251</t>
  </si>
  <si>
    <t>CUST327</t>
  </si>
  <si>
    <t>CUST349</t>
  </si>
  <si>
    <t>CUST352</t>
  </si>
  <si>
    <t>CUST366</t>
  </si>
  <si>
    <t>CUST367</t>
  </si>
  <si>
    <t>CUST436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</si>
  <si>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</si>
  <si>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</si>
  <si>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</si>
  <si>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</si>
  <si>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</si>
  <si>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</si>
  <si>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</si>
  <si>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</si>
  <si>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</si>
  <si>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</si>
  <si>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</si>
  <si>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</si>
  <si>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</si>
  <si>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</si>
  <si>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</si>
  <si>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</si>
  <si>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</si>
  <si>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</si>
  <si>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</si>
  <si>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</si>
  <si>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</si>
  <si>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</si>
  <si>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</si>
  <si>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</si>
  <si>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</si>
  <si>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</si>
  <si>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</si>
  <si>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</si>
  <si>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</si>
  <si>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</si>
  <si>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</si>
  <si>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</si>
  <si>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</si>
  <si>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</si>
  <si>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</si>
  <si>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</si>
  <si>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</si>
  <si>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</si>
  <si>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</si>
  <si>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</si>
  <si>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</si>
  <si>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</si>
  <si>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</si>
  <si>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</si>
  <si>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</si>
  <si>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</si>
  <si>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</si>
  <si>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</si>
  <si>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</si>
  <si>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</si>
  <si>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</si>
  <si>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CUST895</t>
  </si>
  <si>
    <t>CUST963</t>
  </si>
  <si>
    <t>CUST048</t>
  </si>
  <si>
    <t>CUST049</t>
  </si>
  <si>
    <t>CUST083</t>
  </si>
  <si>
    <t>CUST198</t>
  </si>
  <si>
    <t>CUST236</t>
  </si>
  <si>
    <t>CUST252</t>
  </si>
  <si>
    <t>CUST287</t>
  </si>
  <si>
    <t>CUST306</t>
  </si>
  <si>
    <t>CUST333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</si>
  <si>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</si>
  <si>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</si>
  <si>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</si>
  <si>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</si>
  <si>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</si>
  <si>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</si>
  <si>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</si>
  <si>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</si>
  <si>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</si>
  <si>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</si>
  <si>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CUST845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</si>
  <si>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</si>
  <si>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</si>
  <si>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</si>
  <si>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</si>
  <si>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</si>
  <si>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</si>
  <si>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</si>
  <si>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</si>
  <si>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</si>
  <si>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</si>
  <si>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</si>
  <si>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</si>
  <si>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</si>
  <si>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</si>
  <si>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CUST680</t>
  </si>
  <si>
    <t>CUST687</t>
  </si>
  <si>
    <t>CUST697</t>
  </si>
  <si>
    <t>CUST978</t>
  </si>
  <si>
    <t>CUST010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</si>
  <si>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</si>
  <si>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</si>
  <si>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</si>
  <si>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</si>
  <si>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</si>
  <si>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</si>
  <si>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</si>
  <si>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</si>
  <si>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</si>
  <si>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</si>
  <si>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</si>
  <si>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</si>
  <si>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</si>
  <si>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</si>
  <si>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</si>
  <si>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</si>
  <si>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</si>
  <si>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</si>
  <si>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</si>
  <si>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</si>
  <si>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</si>
  <si>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</si>
  <si>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</si>
  <si>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</si>
  <si>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</si>
  <si>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</si>
  <si>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</si>
  <si>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</si>
  <si>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</si>
  <si>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</si>
  <si>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</si>
  <si>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</si>
  <si>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</si>
  <si>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</si>
  <si>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</si>
  <si>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</si>
  <si>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</si>
  <si>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</si>
  <si>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</si>
  <si>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</si>
  <si>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</si>
  <si>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</si>
  <si>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</si>
  <si>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</si>
  <si>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</si>
  <si>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</si>
  <si>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</si>
  <si>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</si>
  <si>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</si>
  <si>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</si>
  <si>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</si>
  <si>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</si>
  <si>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</si>
  <si>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</si>
  <si>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</si>
  <si>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</si>
  <si>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</si>
  <si>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</si>
  <si>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</si>
  <si>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</si>
  <si>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</si>
  <si>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</si>
  <si>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</si>
  <si>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</si>
  <si>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</si>
  <si>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</si>
  <si>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</si>
  <si>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</si>
  <si>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</si>
  <si>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</si>
  <si>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</si>
  <si>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</si>
  <si>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</si>
  <si>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</si>
  <si>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</si>
  <si>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CUST552</t>
  </si>
  <si>
    <t>CUST570</t>
  </si>
  <si>
    <t>CUST622</t>
  </si>
  <si>
    <t>CUST759</t>
  </si>
  <si>
    <t>CUST820</t>
  </si>
  <si>
    <t>CUST821</t>
  </si>
  <si>
    <t>CUST893</t>
  </si>
  <si>
    <t>CUST938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</si>
  <si>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</si>
  <si>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</si>
  <si>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</si>
  <si>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</si>
  <si>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</si>
  <si>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</si>
  <si>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</si>
  <si>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</si>
  <si>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</si>
  <si>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CUST452</t>
  </si>
  <si>
    <t>CUST581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</si>
  <si>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</si>
  <si>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</si>
  <si>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</si>
  <si>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</si>
  <si>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</si>
  <si>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</si>
  <si>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</si>
  <si>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</si>
  <si>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</si>
  <si>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</si>
  <si>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</si>
  <si>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</si>
  <si>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</si>
  <si>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</si>
  <si>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</si>
  <si>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</si>
  <si>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</si>
  <si>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</si>
  <si>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</si>
  <si>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</si>
  <si>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</si>
  <si>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CUST609</t>
  </si>
  <si>
    <t>CUST619</t>
  </si>
  <si>
    <t>CUST726</t>
  </si>
  <si>
    <t>CUST778</t>
  </si>
  <si>
    <t>CUST838</t>
  </si>
  <si>
    <t>CUST842</t>
  </si>
  <si>
    <t>CUST1000</t>
  </si>
  <si>
    <t>CUST007</t>
  </si>
  <si>
    <t>CUST106</t>
  </si>
  <si>
    <t>CUST329</t>
  </si>
  <si>
    <t>CUST377</t>
  </si>
  <si>
    <t>CUST383</t>
  </si>
  <si>
    <t>CUST404</t>
  </si>
  <si>
    <t>CUST407</t>
  </si>
  <si>
    <t>CUST454</t>
  </si>
  <si>
    <t>CUST540</t>
  </si>
  <si>
    <t>CUST554</t>
  </si>
  <si>
    <t>CUST592</t>
  </si>
  <si>
    <t>CUST638</t>
  </si>
  <si>
    <t>CUST775</t>
  </si>
  <si>
    <t>CUST802</t>
  </si>
  <si>
    <t>CUST825</t>
  </si>
  <si>
    <t>CUST826</t>
  </si>
  <si>
    <t>CUST870</t>
  </si>
  <si>
    <t>CUST939</t>
  </si>
  <si>
    <t>CUST982</t>
  </si>
  <si>
    <t>CUST006</t>
  </si>
  <si>
    <t>CUST066</t>
  </si>
  <si>
    <t>CUST143</t>
  </si>
  <si>
    <t>CUST259</t>
  </si>
  <si>
    <t>CUST451</t>
  </si>
  <si>
    <t>CUST534</t>
  </si>
  <si>
    <t>CUST551</t>
  </si>
  <si>
    <t>CUST565</t>
  </si>
  <si>
    <t>CUST675</t>
  </si>
  <si>
    <t>CUST907</t>
  </si>
  <si>
    <t>CUST932</t>
  </si>
  <si>
    <t>CUST031</t>
  </si>
  <si>
    <t>CUST096</t>
  </si>
  <si>
    <t>CUST136</t>
  </si>
  <si>
    <t>CUST158</t>
  </si>
  <si>
    <t>CUST381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</si>
  <si>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</si>
  <si>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</si>
  <si>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</si>
  <si>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</si>
  <si>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</si>
  <si>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</si>
  <si>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</si>
  <si>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</si>
  <si>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</si>
  <si>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</si>
  <si>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</si>
  <si>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</si>
  <si>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</si>
  <si>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</si>
  <si>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</si>
  <si>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</si>
  <si>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</si>
  <si>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</si>
  <si>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</si>
  <si>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</si>
  <si>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</si>
  <si>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</si>
  <si>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</si>
  <si>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</si>
  <si>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</si>
  <si>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</si>
  <si>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</si>
  <si>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</si>
  <si>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</si>
  <si>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</si>
  <si>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</si>
  <si>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</si>
  <si>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</si>
  <si>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</si>
  <si>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</si>
  <si>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</si>
  <si>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</si>
  <si>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CUST876</t>
  </si>
  <si>
    <t>CUST927</t>
  </si>
  <si>
    <t>CUST015</t>
  </si>
  <si>
    <t>CUST029</t>
  </si>
  <si>
    <t>CUST132</t>
  </si>
  <si>
    <t>CUST197</t>
  </si>
  <si>
    <t>CUST207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</si>
  <si>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</si>
  <si>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</si>
  <si>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</si>
  <si>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</si>
  <si>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</si>
  <si>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</si>
  <si>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</si>
  <si>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</si>
  <si>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</si>
  <si>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</si>
  <si>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CUST751</t>
  </si>
  <si>
    <t>CUST804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</si>
  <si>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</si>
  <si>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</si>
  <si>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</si>
  <si>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</si>
  <si>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</si>
  <si>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</si>
  <si>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</si>
  <si>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</si>
  <si>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</si>
  <si>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</si>
  <si>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</si>
  <si>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</si>
  <si>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CUST497</t>
  </si>
  <si>
    <t>CUST558</t>
  </si>
  <si>
    <t>CUST571</t>
  </si>
  <si>
    <t>CUST616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</si>
  <si>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</si>
  <si>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</si>
  <si>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</si>
  <si>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</si>
  <si>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</si>
  <si>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</si>
  <si>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</si>
  <si>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</si>
  <si>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</si>
  <si>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</si>
  <si>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</si>
  <si>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</si>
  <si>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</si>
  <si>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</si>
  <si>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</si>
  <si>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</si>
  <si>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</si>
  <si>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</si>
  <si>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</si>
  <si>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</si>
  <si>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</si>
  <si>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</si>
  <si>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</si>
  <si>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</si>
  <si>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</si>
  <si>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</si>
  <si>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</si>
  <si>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</si>
  <si>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</si>
  <si>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</si>
  <si>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</si>
  <si>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</si>
  <si>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</si>
  <si>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</si>
  <si>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</si>
  <si>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CUST238</t>
  </si>
  <si>
    <t>CUST390</t>
  </si>
  <si>
    <t>CUST458</t>
  </si>
  <si>
    <t>CUST501</t>
  </si>
  <si>
    <t>CUST510</t>
  </si>
  <si>
    <t>CUST614</t>
  </si>
  <si>
    <t>CUST659</t>
  </si>
  <si>
    <t>CUST694</t>
  </si>
  <si>
    <t>CUST803</t>
  </si>
  <si>
    <t>CUST027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</si>
  <si>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</si>
  <si>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</si>
  <si>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</si>
  <si>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</si>
  <si>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</si>
  <si>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</si>
  <si>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</si>
  <si>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</si>
  <si>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</si>
  <si>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</si>
  <si>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</si>
  <si>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</si>
  <si>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</si>
  <si>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</si>
  <si>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</si>
  <si>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</si>
  <si>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</si>
  <si>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</si>
  <si>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</si>
  <si>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</si>
  <si>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</si>
  <si>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</si>
  <si>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</si>
  <si>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</si>
  <si>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</si>
  <si>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</si>
  <si>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CUST605</t>
  </si>
  <si>
    <t>CUST699</t>
  </si>
  <si>
    <t>CUST835</t>
  </si>
  <si>
    <t>CUST886</t>
  </si>
  <si>
    <t>CUST052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</si>
  <si>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</si>
  <si>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</si>
  <si>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</si>
  <si>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</si>
  <si>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</si>
  <si>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</si>
  <si>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</si>
  <si>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</si>
  <si>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</si>
  <si>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</si>
  <si>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CUST950</t>
  </si>
  <si>
    <t>CUST999</t>
  </si>
  <si>
    <t>CUST023</t>
  </si>
  <si>
    <t>CUST093</t>
  </si>
  <si>
    <t>CUST142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</si>
  <si>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</si>
  <si>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</si>
  <si>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</si>
  <si>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</si>
  <si>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</si>
  <si>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</si>
  <si>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</si>
  <si>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</si>
  <si>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</si>
  <si>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</si>
  <si>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CUST806</t>
  </si>
  <si>
    <t>CUST819</t>
  </si>
  <si>
    <t>CUST844</t>
  </si>
  <si>
    <t>CUST889</t>
  </si>
  <si>
    <t>CUST928</t>
  </si>
  <si>
    <t>CUST977</t>
  </si>
  <si>
    <t>CUST041</t>
  </si>
  <si>
    <t>CUST053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</si>
  <si>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</si>
  <si>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</si>
  <si>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</si>
  <si>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</si>
  <si>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</si>
  <si>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</si>
  <si>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</si>
  <si>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</si>
  <si>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</si>
  <si>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CUST617</t>
  </si>
  <si>
    <t>CUST623</t>
  </si>
  <si>
    <t>CUST624</t>
  </si>
  <si>
    <t>CUST652</t>
  </si>
  <si>
    <t>CUST672</t>
  </si>
  <si>
    <t>CUST703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</si>
  <si>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</si>
  <si>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</si>
  <si>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</si>
  <si>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</si>
  <si>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</si>
  <si>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</si>
  <si>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</si>
  <si>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</si>
  <si>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</si>
  <si>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</si>
  <si>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</si>
  <si>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</si>
  <si>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</si>
  <si>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CUST828</t>
  </si>
  <si>
    <t>CUST082</t>
  </si>
  <si>
    <t>CUST095</t>
  </si>
  <si>
    <t>CUST101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</si>
  <si>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</si>
  <si>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</si>
  <si>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</si>
  <si>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</si>
  <si>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</si>
  <si>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</si>
  <si>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</si>
  <si>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</si>
  <si>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</si>
  <si>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</si>
  <si>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</si>
  <si>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</si>
  <si>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</si>
  <si>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</si>
  <si>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</si>
  <si>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</si>
  <si>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</si>
  <si>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</si>
  <si>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</si>
  <si>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</si>
  <si>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</si>
  <si>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</si>
  <si>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</si>
  <si>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</si>
  <si>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</si>
  <si>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</si>
  <si>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</si>
  <si>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</si>
  <si>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</si>
  <si>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</si>
  <si>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</si>
  <si>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</si>
  <si>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</si>
  <si>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</si>
  <si>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</si>
  <si>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CUST008</t>
  </si>
  <si>
    <t>CUST118</t>
  </si>
  <si>
    <t>CUST209</t>
  </si>
  <si>
    <t>CUST290</t>
  </si>
  <si>
    <t>CUST301</t>
  </si>
  <si>
    <t>CUST397</t>
  </si>
  <si>
    <t>CUST435</t>
  </si>
  <si>
    <t>CUST805</t>
  </si>
  <si>
    <t>CUST818</t>
  </si>
  <si>
    <t>CUST863</t>
  </si>
  <si>
    <t>CUST896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</si>
  <si>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</si>
  <si>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</si>
  <si>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</si>
  <si>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</si>
  <si>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</si>
  <si>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</si>
  <si>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</si>
  <si>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</si>
  <si>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CUST443</t>
  </si>
  <si>
    <t>CUST604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</si>
  <si>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</si>
  <si>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</si>
  <si>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</si>
  <si>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</si>
  <si>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</si>
  <si>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</si>
  <si>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</si>
  <si>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</si>
  <si>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</si>
  <si>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</si>
  <si>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</si>
  <si>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</si>
  <si>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</si>
  <si>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</si>
  <si>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</si>
  <si>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</si>
  <si>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</si>
  <si>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</si>
  <si>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</si>
  <si>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</si>
  <si>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</si>
  <si>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</si>
  <si>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</si>
  <si>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</si>
  <si>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</si>
  <si>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</si>
  <si>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</si>
  <si>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</si>
  <si>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CUST108</t>
  </si>
  <si>
    <t>CUST110</t>
  </si>
  <si>
    <t>CUST295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</si>
  <si>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</si>
  <si>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</si>
  <si>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</si>
  <si>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</si>
  <si>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</si>
  <si>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</si>
  <si>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</si>
  <si>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</si>
  <si>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CUST734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</si>
  <si>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</si>
  <si>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</si>
  <si>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</si>
  <si>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</si>
  <si>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</si>
  <si>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</si>
  <si>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</si>
  <si>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</si>
  <si>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</si>
  <si>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</si>
  <si>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</si>
  <si>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</si>
  <si>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</si>
  <si>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</si>
  <si>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</si>
  <si>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</si>
  <si>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</si>
  <si>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</si>
  <si>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</si>
  <si>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</si>
  <si>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</si>
  <si>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</si>
  <si>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</si>
  <si>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</si>
  <si>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</si>
  <si>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</si>
  <si>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CUST170</t>
  </si>
  <si>
    <t>CUST224</t>
  </si>
  <si>
    <t>CUST269</t>
  </si>
  <si>
    <t>CUST330</t>
  </si>
  <si>
    <t>CUST373</t>
  </si>
  <si>
    <t>CUST405</t>
  </si>
  <si>
    <t>CUST427</t>
  </si>
  <si>
    <t>CUST449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</si>
  <si>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</si>
  <si>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</si>
  <si>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</si>
  <si>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</si>
  <si>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</si>
  <si>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</si>
  <si>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</si>
  <si>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</si>
  <si>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</si>
  <si>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</si>
  <si>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CUST513</t>
  </si>
  <si>
    <t>CUST553</t>
  </si>
  <si>
    <t>CUST583</t>
  </si>
  <si>
    <t>CUST585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</si>
  <si>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</si>
  <si>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</si>
  <si>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</si>
  <si>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</si>
  <si>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</si>
  <si>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</si>
  <si>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</si>
  <si>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</si>
  <si>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</si>
  <si>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</si>
  <si>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</si>
  <si>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</si>
  <si>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</si>
  <si>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</si>
  <si>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CUST274</t>
  </si>
  <si>
    <t>CUST294</t>
  </si>
  <si>
    <t>CUST369</t>
  </si>
  <si>
    <t>CUST370</t>
  </si>
  <si>
    <t>CUST426</t>
  </si>
  <si>
    <t>CUST496</t>
  </si>
  <si>
    <t>CUST663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</si>
  <si>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</si>
  <si>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</si>
  <si>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</si>
  <si>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</si>
  <si>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</si>
  <si>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</si>
  <si>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</si>
  <si>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</si>
  <si>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</si>
  <si>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</si>
  <si>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</si>
  <si>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</si>
  <si>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</si>
  <si>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</si>
  <si>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</si>
  <si>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</si>
  <si>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</si>
  <si>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</si>
  <si>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</si>
  <si>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</si>
  <si>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</si>
  <si>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CUST606</t>
  </si>
  <si>
    <t>CUST695</t>
  </si>
  <si>
    <t>CUST836</t>
  </si>
  <si>
    <t>CUST881</t>
  </si>
  <si>
    <t>CUST919</t>
  </si>
  <si>
    <t>CUST926</t>
  </si>
  <si>
    <t>CUST965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</si>
  <si>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</si>
  <si>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</si>
  <si>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</si>
  <si>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</si>
  <si>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</si>
  <si>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</si>
  <si>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</si>
  <si>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</si>
  <si>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</si>
  <si>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</si>
  <si>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</si>
  <si>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</si>
  <si>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CUST636</t>
  </si>
  <si>
    <t>CUST801</t>
  </si>
  <si>
    <t>CUST867</t>
  </si>
  <si>
    <t>CUST900</t>
  </si>
  <si>
    <t>CUST046</t>
  </si>
  <si>
    <t>CUST072</t>
  </si>
  <si>
    <t>CUST133</t>
  </si>
  <si>
    <t>CUST135</t>
  </si>
  <si>
    <t>CUST186</t>
  </si>
  <si>
    <t>CUST249</t>
  </si>
  <si>
    <t>CUST371</t>
  </si>
  <si>
    <t>CUST542</t>
  </si>
  <si>
    <t>CUST557</t>
  </si>
  <si>
    <t>CUST563</t>
  </si>
  <si>
    <t>CUST602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</si>
  <si>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</si>
  <si>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</si>
  <si>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</si>
  <si>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</si>
  <si>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</si>
  <si>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</si>
  <si>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</si>
  <si>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</si>
  <si>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CUST117</t>
  </si>
  <si>
    <t>CUST181</t>
  </si>
  <si>
    <t>CUST266</t>
  </si>
  <si>
    <t>CUST300</t>
  </si>
  <si>
    <t>CUST303</t>
  </si>
  <si>
    <t>CUST364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</si>
  <si>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</si>
  <si>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</si>
  <si>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</si>
  <si>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</si>
  <si>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</si>
  <si>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</si>
  <si>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</si>
  <si>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</si>
  <si>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</si>
  <si>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</si>
  <si>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</si>
  <si>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</si>
  <si>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</si>
  <si>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</si>
  <si>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CUST074</t>
  </si>
  <si>
    <t>CUST148</t>
  </si>
  <si>
    <t>CUST283</t>
  </si>
  <si>
    <t>CUST305</t>
  </si>
  <si>
    <t>CUST326</t>
  </si>
  <si>
    <t>CUST461</t>
  </si>
  <si>
    <t>CUST514</t>
  </si>
  <si>
    <t>CUST530</t>
  </si>
  <si>
    <t>CUST538</t>
  </si>
  <si>
    <t>CUST556</t>
  </si>
  <si>
    <t>CUST595</t>
  </si>
  <si>
    <t>CUST679</t>
  </si>
  <si>
    <t>CUST714</t>
  </si>
  <si>
    <t>CUST847</t>
  </si>
  <si>
    <t>Total Sales</t>
  </si>
  <si>
    <t>Product category</t>
  </si>
  <si>
    <t>Concatenate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</si>
  <si>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</si>
  <si>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</si>
  <si>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</si>
  <si>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Yorkshire </t>
  </si>
  <si>
    <t>Laptops </t>
  </si>
  <si>
    <t>500 </t>
  </si>
  <si>
    <t>Smartphones </t>
  </si>
  <si>
    <t>200 </t>
  </si>
  <si>
    <t>Cornwall </t>
  </si>
  <si>
    <t>700 </t>
  </si>
  <si>
    <t>Printers </t>
  </si>
  <si>
    <t>400 </t>
  </si>
  <si>
    <t>Lancashire </t>
  </si>
  <si>
    <t>150 </t>
  </si>
  <si>
    <t>600 </t>
  </si>
  <si>
    <t>Essex </t>
  </si>
  <si>
    <t>800 </t>
  </si>
  <si>
    <t>300 </t>
  </si>
  <si>
    <t>Durham </t>
  </si>
  <si>
    <t>250 </t>
  </si>
  <si>
    <t>Greater Manchester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</si>
</sst>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Segoe UI"/>
      <charset val="1"/>
    </font>
    <font>
      <b/>
      <sz val="12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6" fillId="0" borderId="0" xfId="0" applyFont="1"/>
    <xf numFmtId="14" fontId="0" fillId="0" borderId="12" xfId="0" applyNumberFormat="1" applyBorder="1"/>
    <xf numFmtId="0" fontId="0" fillId="0" borderId="12" xfId="0" applyBorder="1"/>
    <xf numFmtId="0" fontId="0" fillId="0" borderId="13" xfId="0" applyBorder="1"/>
    <xf numFmtId="14" fontId="0" fillId="0" borderId="10" xfId="0" applyNumberFormat="1" applyBorder="1"/>
    <xf numFmtId="0" fontId="0" fillId="0" borderId="10" xfId="0" applyBorder="1"/>
    <xf numFmtId="0" fontId="0" fillId="0" borderId="11" xfId="0" applyBorder="1"/>
    <xf numFmtId="0" fontId="18" fillId="0" borderId="12" xfId="0" applyFont="1" applyBorder="1"/>
    <xf numFmtId="0" fontId="18" fillId="0" borderId="13" xfId="0" applyFont="1" applyBorder="1"/>
    <xf numFmtId="0" fontId="19" fillId="0" borderId="14" xfId="0" applyFont="1" applyBorder="1"/>
    <xf numFmtId="0" fontId="19" fillId="0" borderId="14" xfId="0" applyFont="1" applyBorder="1" applyAlignment="1">
      <alignment horizontal="center" vertical="center"/>
    </xf>
    <xf numFmtId="164" fontId="20" fillId="0" borderId="14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10" fontId="0" fillId="0" borderId="0" xfId="0" pivotButton="1" applyNumberFormat="1"/>
    <xf numFmtId="14" fontId="0" fillId="0" borderId="0" xfId="0" applyNumberFormat="1"/>
    <xf numFmtId="0" fontId="0" fillId="0" borderId="12" xfId="0" applyBorder="1" applyAlignment="1">
      <alignment horizontal="center" wrapText="1"/>
    </xf>
    <xf numFmtId="0" fontId="18" fillId="0" borderId="0" xfId="0" applyFont="1"/>
    <xf numFmtId="0" fontId="22" fillId="0" borderId="15" xfId="0" applyFont="1" applyBorder="1" applyAlignment="1">
      <alignment wrapText="1"/>
    </xf>
    <xf numFmtId="0" fontId="22" fillId="0" borderId="16" xfId="0" applyFont="1" applyBorder="1" applyAlignment="1">
      <alignment wrapText="1"/>
    </xf>
    <xf numFmtId="0" fontId="22" fillId="0" borderId="17" xfId="0" applyFont="1" applyBorder="1" applyAlignment="1">
      <alignment wrapText="1"/>
    </xf>
    <xf numFmtId="0" fontId="21" fillId="0" borderId="18" xfId="0" applyFont="1" applyBorder="1" applyAlignment="1">
      <alignment wrapText="1"/>
    </xf>
    <xf numFmtId="0" fontId="21" fillId="0" borderId="19" xfId="0" applyFont="1" applyBorder="1" applyAlignment="1">
      <alignment wrapText="1"/>
    </xf>
    <xf numFmtId="0" fontId="21" fillId="0" borderId="20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21" fillId="0" borderId="22" xfId="0" applyFont="1" applyBorder="1" applyAlignment="1">
      <alignment wrapText="1"/>
    </xf>
    <xf numFmtId="0" fontId="21" fillId="0" borderId="2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65" formatCode="_-[$£-809]* #,##0.00_-;\-[$£-809]* #,##0.00_-;_-[$£-809]* &quot;-&quot;??_-;_-@_-"/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numFmt numFmtId="19" formatCode="m/d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[retail_sales_dataset_ana-maria - Copy - Copy.xlsx]Sheet1!PivotTable7</c:name>
    <c:fmtId val="0"/>
  </c:pivotSource>
  <c:chart>
    <c:autoTitleDeleted val="0"/>
    <c:pivotFmts>
      <c:pivotFmt>
        <c:idx val="0"/>
        <c:spPr>
          <a:solidFill>
            <a:srgbClr val="00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Sheet1!$B$5:$B$7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1-4F25-9BAF-6701A772BE5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Sheet1!$C$5:$C$7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9-42E9-BE93-EE31B4481688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Sheet1!$D$5:$D$7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E9-42E9-BE93-EE31B4481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79175"/>
        <c:axId val="94281223"/>
      </c:barChart>
      <c:catAx>
        <c:axId val="94279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1223"/>
        <c:crosses val="autoZero"/>
        <c:auto val="1"/>
        <c:lblAlgn val="ctr"/>
        <c:lblOffset val="100"/>
        <c:noMultiLvlLbl val="0"/>
      </c:catAx>
      <c:valAx>
        <c:axId val="9428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9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</xdr:rowOff>
    </xdr:from>
    <xdr:to>
      <xdr:col>5</xdr:col>
      <xdr:colOff>38100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394DB-6B9D-2A15-D679-DDE7B56C2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190500</xdr:colOff>
      <xdr:row>0</xdr:row>
      <xdr:rowOff>0</xdr:rowOff>
    </xdr:from>
    <xdr:to>
      <xdr:col>8</xdr:col>
      <xdr:colOff>1200150</xdr:colOff>
      <xdr:row>13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Generation ">
              <a:extLst>
                <a:ext uri="{FF2B5EF4-FFF2-40B4-BE49-F238E27FC236}">
                  <a16:creationId xmlns:a16="http://schemas.microsoft.com/office/drawing/2014/main" id="{72FC4F39-DDB8-CFC3-2124-1FBAAB9E5954}"/>
                </a:ext>
                <a:ext uri="{147F2762-F138-4A5C-976F-8EAC2B608ADB}">
                  <a16:predDERef xmlns:a16="http://schemas.microsoft.com/office/drawing/2014/main" pred="{6A8394DB-6B9D-2A15-D679-DDE7B56C24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3417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0</xdr:row>
      <xdr:rowOff>0</xdr:rowOff>
    </xdr:from>
    <xdr:to>
      <xdr:col>7</xdr:col>
      <xdr:colOff>190500</xdr:colOff>
      <xdr:row>13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roduct Category">
              <a:extLst>
                <a:ext uri="{FF2B5EF4-FFF2-40B4-BE49-F238E27FC236}">
                  <a16:creationId xmlns:a16="http://schemas.microsoft.com/office/drawing/2014/main" id="{25FB5063-7C54-07A5-6734-3C35C965189E}"/>
                </a:ext>
                <a:ext uri="{147F2762-F138-4A5C-976F-8EAC2B608ADB}">
                  <a16:predDERef xmlns:a16="http://schemas.microsoft.com/office/drawing/2014/main" pred="{72FC4F39-DDB8-CFC3-2124-1FBAAB9E59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537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66.476618055553" createdVersion="8" refreshedVersion="8" minRefreshableVersion="3" recordCount="1000" xr:uid="{192C0BA0-BAC5-46D4-B460-22875F237C58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 Name " numFmtId="0">
      <sharedItems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tring="0" containsBlank="1" containsNumber="1" containsInteger="1" minValue="18" maxValue="64"/>
    </cacheField>
    <cacheField name="Generation " numFmtId="0">
      <sharedItems containsBlank="1" count="2">
        <m/>
        <s v="Young Adult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25" maxValue="500"/>
    </cacheField>
    <cacheField name="TOTAL SALE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OMMISION 2023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17132561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s v="November"/>
    <n v="11"/>
    <n v="2023"/>
    <d v="2023-11-24T00:00:00"/>
    <s v="CUST001"/>
    <x v="0"/>
    <m/>
    <x v="0"/>
    <x v="0"/>
    <x v="0"/>
    <n v="50"/>
    <x v="0"/>
    <n v="2.25"/>
  </r>
  <r>
    <n v="2"/>
    <n v="27"/>
    <s v="February"/>
    <n v="2"/>
    <n v="2023"/>
    <d v="2023-02-27T00:00:00"/>
    <s v="CUST002"/>
    <x v="1"/>
    <n v="26"/>
    <x v="1"/>
    <x v="1"/>
    <x v="1"/>
    <n v="500"/>
    <x v="1"/>
    <n v="15"/>
  </r>
  <r>
    <n v="3"/>
    <n v="13"/>
    <s v="January"/>
    <n v="1"/>
    <n v="2023"/>
    <d v="2023-01-13T00:00:00"/>
    <s v="CUST003"/>
    <x v="0"/>
    <n v="50"/>
    <x v="0"/>
    <x v="2"/>
    <x v="2"/>
    <n v="30"/>
    <x v="2"/>
    <n v="0.44999999999999996"/>
  </r>
  <r>
    <n v="4"/>
    <n v="21"/>
    <s v="May"/>
    <n v="5"/>
    <n v="2023"/>
    <d v="2023-05-21T00:00:00"/>
    <s v="CUST004"/>
    <x v="0"/>
    <n v="37"/>
    <x v="0"/>
    <x v="1"/>
    <x v="2"/>
    <n v="500"/>
    <x v="3"/>
    <n v="7.5"/>
  </r>
  <r>
    <n v="5"/>
    <n v="6"/>
    <s v="May"/>
    <n v="5"/>
    <n v="2023"/>
    <d v="2023-05-06T00:00:00"/>
    <s v="CUST005"/>
    <x v="0"/>
    <n v="30"/>
    <x v="0"/>
    <x v="0"/>
    <x v="1"/>
    <n v="50"/>
    <x v="4"/>
    <n v="1.5"/>
  </r>
  <r>
    <n v="6"/>
    <n v="25"/>
    <s v="April"/>
    <n v="4"/>
    <n v="2023"/>
    <d v="2023-04-25T00:00:00"/>
    <s v="CUST006"/>
    <x v="1"/>
    <n v="45"/>
    <x v="0"/>
    <x v="0"/>
    <x v="2"/>
    <n v="30"/>
    <x v="2"/>
    <n v="0.44999999999999996"/>
  </r>
  <r>
    <n v="7"/>
    <n v="13"/>
    <s v="March"/>
    <n v="3"/>
    <n v="2023"/>
    <d v="2023-03-13T00:00:00"/>
    <s v="CUST007"/>
    <x v="0"/>
    <n v="46"/>
    <x v="0"/>
    <x v="1"/>
    <x v="1"/>
    <n v="25"/>
    <x v="5"/>
    <n v="0.75"/>
  </r>
  <r>
    <n v="8"/>
    <n v="22"/>
    <s v="February"/>
    <n v="2"/>
    <n v="2023"/>
    <d v="2023-02-22T00:00:00"/>
    <s v="CUST008"/>
    <x v="0"/>
    <n v="30"/>
    <x v="0"/>
    <x v="2"/>
    <x v="3"/>
    <n v="25"/>
    <x v="4"/>
    <n v="1.5"/>
  </r>
  <r>
    <n v="9"/>
    <n v="13"/>
    <s v="December"/>
    <n v="12"/>
    <n v="2023"/>
    <d v="2023-12-13T00:00:00"/>
    <s v="CUST009"/>
    <x v="0"/>
    <n v="63"/>
    <x v="0"/>
    <x v="2"/>
    <x v="1"/>
    <n v="300"/>
    <x v="6"/>
    <n v="9"/>
  </r>
  <r>
    <n v="10"/>
    <n v="7"/>
    <s v="October"/>
    <n v="10"/>
    <n v="2023"/>
    <d v="2023-10-07T00:00:00"/>
    <s v="CUST010"/>
    <x v="1"/>
    <n v="52"/>
    <x v="0"/>
    <x v="1"/>
    <x v="3"/>
    <n v="50"/>
    <x v="7"/>
    <n v="3"/>
  </r>
  <r>
    <n v="11"/>
    <n v="14"/>
    <s v="February"/>
    <n v="2"/>
    <n v="2023"/>
    <d v="2023-02-14T00:00:00"/>
    <s v="CUST011"/>
    <x v="0"/>
    <n v="23"/>
    <x v="0"/>
    <x v="1"/>
    <x v="1"/>
    <n v="50"/>
    <x v="4"/>
    <n v="1.5"/>
  </r>
  <r>
    <n v="12"/>
    <n v="30"/>
    <s v="October"/>
    <n v="10"/>
    <n v="2023"/>
    <d v="2023-10-30T00:00:00"/>
    <s v="CUST012"/>
    <x v="0"/>
    <n v="35"/>
    <x v="0"/>
    <x v="0"/>
    <x v="0"/>
    <n v="25"/>
    <x v="8"/>
    <n v="1.125"/>
  </r>
  <r>
    <n v="13"/>
    <n v="5"/>
    <s v="August"/>
    <n v="8"/>
    <n v="2023"/>
    <d v="2023-08-05T00:00:00"/>
    <s v="CUST013"/>
    <x v="0"/>
    <n v="22"/>
    <x v="0"/>
    <x v="2"/>
    <x v="0"/>
    <n v="500"/>
    <x v="9"/>
    <n v="22.5"/>
  </r>
  <r>
    <n v="14"/>
    <n v="17"/>
    <s v="January"/>
    <n v="1"/>
    <n v="2023"/>
    <d v="2023-01-17T00:00:00"/>
    <s v="CUST014"/>
    <x v="0"/>
    <n v="64"/>
    <x v="0"/>
    <x v="1"/>
    <x v="3"/>
    <n v="30"/>
    <x v="10"/>
    <n v="1.7999999999999998"/>
  </r>
  <r>
    <n v="15"/>
    <n v="16"/>
    <s v="January"/>
    <n v="1"/>
    <n v="2023"/>
    <d v="2023-01-16T00:00:00"/>
    <s v="CUST015"/>
    <x v="1"/>
    <n v="42"/>
    <x v="0"/>
    <x v="2"/>
    <x v="3"/>
    <n v="500"/>
    <x v="11"/>
    <n v="30"/>
  </r>
  <r>
    <n v="16"/>
    <n v="17"/>
    <s v="February"/>
    <n v="2"/>
    <n v="2023"/>
    <d v="2023-02-17T00:00:00"/>
    <s v="CUST016"/>
    <x v="0"/>
    <n v="19"/>
    <x v="0"/>
    <x v="1"/>
    <x v="0"/>
    <n v="500"/>
    <x v="9"/>
    <n v="22.5"/>
  </r>
  <r>
    <n v="17"/>
    <n v="22"/>
    <s v="April"/>
    <n v="4"/>
    <n v="2023"/>
    <d v="2023-04-22T00:00:00"/>
    <s v="CUST017"/>
    <x v="1"/>
    <n v="27"/>
    <x v="0"/>
    <x v="1"/>
    <x v="3"/>
    <n v="25"/>
    <x v="4"/>
    <n v="1.5"/>
  </r>
  <r>
    <n v="18"/>
    <n v="30"/>
    <s v="April"/>
    <n v="4"/>
    <n v="2023"/>
    <d v="2023-04-30T00:00:00"/>
    <s v="CUST018"/>
    <x v="1"/>
    <n v="47"/>
    <x v="0"/>
    <x v="2"/>
    <x v="1"/>
    <n v="25"/>
    <x v="5"/>
    <n v="0.75"/>
  </r>
  <r>
    <n v="19"/>
    <n v="16"/>
    <s v="September"/>
    <n v="9"/>
    <n v="2023"/>
    <d v="2023-09-16T00:00:00"/>
    <s v="CUST019"/>
    <x v="1"/>
    <n v="62"/>
    <x v="0"/>
    <x v="1"/>
    <x v="1"/>
    <n v="25"/>
    <x v="5"/>
    <n v="0.75"/>
  </r>
  <r>
    <n v="20"/>
    <n v="5"/>
    <s v="November"/>
    <n v="11"/>
    <n v="2023"/>
    <d v="2023-11-05T00:00:00"/>
    <s v="CUST020"/>
    <x v="0"/>
    <n v="22"/>
    <x v="0"/>
    <x v="1"/>
    <x v="0"/>
    <n v="300"/>
    <x v="12"/>
    <n v="13.5"/>
  </r>
  <r>
    <n v="21"/>
    <n v="14"/>
    <s v="January"/>
    <n v="1"/>
    <n v="2023"/>
    <d v="2023-01-14T00:00:00"/>
    <s v="CUST021"/>
    <x v="1"/>
    <n v="50"/>
    <x v="0"/>
    <x v="0"/>
    <x v="2"/>
    <n v="500"/>
    <x v="3"/>
    <n v="7.5"/>
  </r>
  <r>
    <n v="22"/>
    <n v="15"/>
    <s v="October"/>
    <n v="10"/>
    <n v="2023"/>
    <d v="2023-10-15T00:00:00"/>
    <s v="CUST022"/>
    <x v="0"/>
    <n v="18"/>
    <x v="0"/>
    <x v="1"/>
    <x v="1"/>
    <n v="50"/>
    <x v="4"/>
    <n v="1.5"/>
  </r>
  <r>
    <n v="23"/>
    <n v="12"/>
    <s v="April"/>
    <n v="4"/>
    <n v="2023"/>
    <d v="2023-04-12T00:00:00"/>
    <s v="CUST023"/>
    <x v="1"/>
    <n v="35"/>
    <x v="0"/>
    <x v="1"/>
    <x v="3"/>
    <n v="30"/>
    <x v="10"/>
    <n v="1.7999999999999998"/>
  </r>
  <r>
    <n v="24"/>
    <n v="29"/>
    <s v="November"/>
    <n v="11"/>
    <n v="2023"/>
    <d v="2023-11-29T00:00:00"/>
    <s v="CUST024"/>
    <x v="1"/>
    <n v="49"/>
    <x v="0"/>
    <x v="1"/>
    <x v="2"/>
    <n v="300"/>
    <x v="13"/>
    <n v="4.5"/>
  </r>
  <r>
    <n v="25"/>
    <n v="26"/>
    <s v="December"/>
    <n v="12"/>
    <n v="2023"/>
    <d v="2023-12-26T00:00:00"/>
    <s v="CUST025"/>
    <x v="1"/>
    <n v="64"/>
    <x v="0"/>
    <x v="0"/>
    <x v="2"/>
    <n v="50"/>
    <x v="5"/>
    <n v="0.75"/>
  </r>
  <r>
    <n v="26"/>
    <n v="7"/>
    <s v="October"/>
    <n v="10"/>
    <n v="2023"/>
    <d v="2023-10-07T00:00:00"/>
    <s v="CUST026"/>
    <x v="1"/>
    <n v="28"/>
    <x v="0"/>
    <x v="2"/>
    <x v="1"/>
    <n v="500"/>
    <x v="1"/>
    <n v="15"/>
  </r>
  <r>
    <n v="27"/>
    <n v="3"/>
    <s v="August"/>
    <n v="8"/>
    <n v="2023"/>
    <d v="2023-08-03T00:00:00"/>
    <s v="CUST027"/>
    <x v="1"/>
    <n v="38"/>
    <x v="0"/>
    <x v="0"/>
    <x v="1"/>
    <n v="25"/>
    <x v="5"/>
    <n v="0.75"/>
  </r>
  <r>
    <n v="28"/>
    <n v="23"/>
    <s v="April"/>
    <n v="4"/>
    <n v="2023"/>
    <d v="2023-04-23T00:00:00"/>
    <s v="CUST028"/>
    <x v="1"/>
    <n v="43"/>
    <x v="0"/>
    <x v="0"/>
    <x v="2"/>
    <n v="500"/>
    <x v="3"/>
    <n v="7.5"/>
  </r>
  <r>
    <n v="29"/>
    <n v="18"/>
    <s v="August"/>
    <n v="8"/>
    <n v="2023"/>
    <d v="2023-08-18T00:00:00"/>
    <s v="CUST029"/>
    <x v="1"/>
    <n v="42"/>
    <x v="0"/>
    <x v="2"/>
    <x v="2"/>
    <n v="30"/>
    <x v="2"/>
    <n v="0.44999999999999996"/>
  </r>
  <r>
    <n v="30"/>
    <n v="29"/>
    <s v="October"/>
    <n v="10"/>
    <n v="2023"/>
    <d v="2023-10-29T00:00:00"/>
    <s v="CUST030"/>
    <x v="1"/>
    <n v="39"/>
    <x v="0"/>
    <x v="0"/>
    <x v="0"/>
    <n v="300"/>
    <x v="12"/>
    <n v="13.5"/>
  </r>
  <r>
    <n v="31"/>
    <n v="23"/>
    <s v="May"/>
    <n v="5"/>
    <n v="2023"/>
    <d v="2023-05-23T00:00:00"/>
    <s v="CUST031"/>
    <x v="0"/>
    <n v="44"/>
    <x v="0"/>
    <x v="2"/>
    <x v="3"/>
    <n v="300"/>
    <x v="14"/>
    <n v="18"/>
  </r>
  <r>
    <n v="32"/>
    <n v="4"/>
    <s v="January"/>
    <n v="1"/>
    <n v="2023"/>
    <d v="2023-01-04T00:00:00"/>
    <s v="CUST032"/>
    <x v="0"/>
    <n v="30"/>
    <x v="0"/>
    <x v="0"/>
    <x v="0"/>
    <n v="30"/>
    <x v="15"/>
    <n v="1.3499999999999999"/>
  </r>
  <r>
    <n v="33"/>
    <n v="23"/>
    <s v="March"/>
    <n v="3"/>
    <n v="2023"/>
    <d v="2023-03-23T00:00:00"/>
    <s v="CUST033"/>
    <x v="1"/>
    <n v="50"/>
    <x v="0"/>
    <x v="2"/>
    <x v="1"/>
    <n v="50"/>
    <x v="4"/>
    <n v="1.5"/>
  </r>
  <r>
    <n v="34"/>
    <n v="24"/>
    <s v="December"/>
    <n v="12"/>
    <n v="2023"/>
    <d v="2023-12-24T00:00:00"/>
    <s v="CUST034"/>
    <x v="1"/>
    <n v="51"/>
    <x v="0"/>
    <x v="1"/>
    <x v="0"/>
    <n v="50"/>
    <x v="0"/>
    <n v="2.25"/>
  </r>
  <r>
    <n v="35"/>
    <n v="5"/>
    <s v="August"/>
    <n v="8"/>
    <n v="2023"/>
    <d v="2023-08-05T00:00:00"/>
    <s v="CUST035"/>
    <x v="1"/>
    <n v="58"/>
    <x v="0"/>
    <x v="0"/>
    <x v="0"/>
    <n v="300"/>
    <x v="12"/>
    <n v="13.5"/>
  </r>
  <r>
    <n v="36"/>
    <n v="24"/>
    <s v="June"/>
    <n v="6"/>
    <n v="2023"/>
    <d v="2023-06-24T00:00:00"/>
    <s v="CUST036"/>
    <x v="0"/>
    <n v="52"/>
    <x v="0"/>
    <x v="0"/>
    <x v="0"/>
    <n v="300"/>
    <x v="12"/>
    <n v="13.5"/>
  </r>
  <r>
    <n v="37"/>
    <n v="23"/>
    <s v="May"/>
    <n v="5"/>
    <n v="2023"/>
    <d v="2023-05-23T00:00:00"/>
    <s v="CUST037"/>
    <x v="1"/>
    <n v="18"/>
    <x v="0"/>
    <x v="0"/>
    <x v="0"/>
    <n v="25"/>
    <x v="8"/>
    <n v="1.125"/>
  </r>
  <r>
    <n v="38"/>
    <n v="21"/>
    <s v="March"/>
    <n v="3"/>
    <n v="2023"/>
    <d v="2023-03-21T00:00:00"/>
    <s v="CUST038"/>
    <x v="0"/>
    <n v="38"/>
    <x v="0"/>
    <x v="0"/>
    <x v="3"/>
    <n v="50"/>
    <x v="7"/>
    <n v="3"/>
  </r>
  <r>
    <n v="39"/>
    <n v="21"/>
    <s v="April"/>
    <n v="4"/>
    <n v="2023"/>
    <d v="2023-04-21T00:00:00"/>
    <s v="CUST039"/>
    <x v="0"/>
    <n v="23"/>
    <x v="0"/>
    <x v="1"/>
    <x v="3"/>
    <n v="30"/>
    <x v="10"/>
    <n v="1.7999999999999998"/>
  </r>
  <r>
    <n v="40"/>
    <n v="22"/>
    <s v="June"/>
    <n v="6"/>
    <n v="2023"/>
    <d v="2023-06-22T00:00:00"/>
    <s v="CUST040"/>
    <x v="0"/>
    <n v="45"/>
    <x v="0"/>
    <x v="0"/>
    <x v="2"/>
    <n v="50"/>
    <x v="5"/>
    <n v="0.75"/>
  </r>
  <r>
    <n v="41"/>
    <n v="22"/>
    <s v="February"/>
    <n v="2"/>
    <n v="2023"/>
    <d v="2023-02-22T00:00:00"/>
    <s v="CUST041"/>
    <x v="0"/>
    <n v="34"/>
    <x v="0"/>
    <x v="1"/>
    <x v="1"/>
    <n v="25"/>
    <x v="5"/>
    <n v="0.75"/>
  </r>
  <r>
    <n v="42"/>
    <n v="17"/>
    <s v="February"/>
    <n v="2"/>
    <n v="2023"/>
    <d v="2023-02-17T00:00:00"/>
    <s v="CUST042"/>
    <x v="0"/>
    <n v="22"/>
    <x v="0"/>
    <x v="1"/>
    <x v="0"/>
    <n v="300"/>
    <x v="12"/>
    <n v="13.5"/>
  </r>
  <r>
    <n v="43"/>
    <n v="14"/>
    <s v="July"/>
    <n v="7"/>
    <n v="2023"/>
    <d v="2023-07-14T00:00:00"/>
    <s v="CUST043"/>
    <x v="1"/>
    <n v="48"/>
    <x v="0"/>
    <x v="1"/>
    <x v="2"/>
    <n v="300"/>
    <x v="13"/>
    <n v="4.5"/>
  </r>
  <r>
    <n v="44"/>
    <n v="19"/>
    <s v="February"/>
    <n v="2"/>
    <n v="2023"/>
    <d v="2023-02-19T00:00:00"/>
    <s v="CUST044"/>
    <x v="1"/>
    <n v="22"/>
    <x v="0"/>
    <x v="1"/>
    <x v="2"/>
    <n v="25"/>
    <x v="16"/>
    <n v="0.375"/>
  </r>
  <r>
    <n v="45"/>
    <n v="3"/>
    <s v="July"/>
    <n v="7"/>
    <n v="2023"/>
    <d v="2023-07-03T00:00:00"/>
    <s v="CUST045"/>
    <x v="1"/>
    <n v="55"/>
    <x v="0"/>
    <x v="2"/>
    <x v="2"/>
    <n v="30"/>
    <x v="2"/>
    <n v="0.44999999999999996"/>
  </r>
  <r>
    <n v="46"/>
    <n v="26"/>
    <s v="June"/>
    <n v="6"/>
    <n v="2023"/>
    <d v="2023-06-26T00:00:00"/>
    <s v="CUST046"/>
    <x v="1"/>
    <n v="20"/>
    <x v="0"/>
    <x v="2"/>
    <x v="3"/>
    <n v="300"/>
    <x v="14"/>
    <n v="18"/>
  </r>
  <r>
    <n v="47"/>
    <n v="6"/>
    <s v="November"/>
    <n v="11"/>
    <n v="2023"/>
    <d v="2023-11-06T00:00:00"/>
    <s v="CUST047"/>
    <x v="1"/>
    <n v="40"/>
    <x v="0"/>
    <x v="0"/>
    <x v="0"/>
    <n v="500"/>
    <x v="9"/>
    <n v="22.5"/>
  </r>
  <r>
    <n v="48"/>
    <n v="16"/>
    <s v="May"/>
    <n v="5"/>
    <n v="2023"/>
    <d v="2023-05-16T00:00:00"/>
    <s v="CUST048"/>
    <x v="0"/>
    <n v="54"/>
    <x v="0"/>
    <x v="2"/>
    <x v="0"/>
    <n v="300"/>
    <x v="12"/>
    <n v="13.5"/>
  </r>
  <r>
    <n v="49"/>
    <n v="23"/>
    <s v="January"/>
    <n v="1"/>
    <n v="2023"/>
    <d v="2023-01-23T00:00:00"/>
    <s v="CUST049"/>
    <x v="1"/>
    <n v="54"/>
    <x v="0"/>
    <x v="2"/>
    <x v="1"/>
    <n v="500"/>
    <x v="1"/>
    <n v="15"/>
  </r>
  <r>
    <n v="50"/>
    <n v="24"/>
    <s v="August"/>
    <n v="8"/>
    <n v="2023"/>
    <d v="2023-08-24T00:00:00"/>
    <s v="CUST050"/>
    <x v="1"/>
    <n v="27"/>
    <x v="0"/>
    <x v="0"/>
    <x v="0"/>
    <n v="25"/>
    <x v="8"/>
    <n v="1.125"/>
  </r>
  <r>
    <n v="51"/>
    <n v="2"/>
    <s v="October"/>
    <n v="10"/>
    <n v="2023"/>
    <d v="2023-10-02T00:00:00"/>
    <s v="CUST051"/>
    <x v="0"/>
    <n v="27"/>
    <x v="0"/>
    <x v="0"/>
    <x v="0"/>
    <n v="25"/>
    <x v="8"/>
    <n v="1.125"/>
  </r>
  <r>
    <n v="52"/>
    <n v="5"/>
    <s v="March"/>
    <n v="3"/>
    <n v="2023"/>
    <d v="2023-03-05T00:00:00"/>
    <s v="CUST052"/>
    <x v="1"/>
    <n v="36"/>
    <x v="0"/>
    <x v="0"/>
    <x v="2"/>
    <n v="300"/>
    <x v="13"/>
    <n v="4.5"/>
  </r>
  <r>
    <n v="53"/>
    <n v="13"/>
    <s v="July"/>
    <n v="7"/>
    <n v="2023"/>
    <d v="2023-07-13T00:00:00"/>
    <s v="CUST053"/>
    <x v="0"/>
    <n v="34"/>
    <x v="0"/>
    <x v="2"/>
    <x v="1"/>
    <n v="50"/>
    <x v="4"/>
    <n v="1.5"/>
  </r>
  <r>
    <n v="54"/>
    <n v="10"/>
    <s v="February"/>
    <n v="2"/>
    <n v="2023"/>
    <d v="2023-02-10T00:00:00"/>
    <s v="CUST054"/>
    <x v="1"/>
    <n v="38"/>
    <x v="0"/>
    <x v="2"/>
    <x v="0"/>
    <n v="500"/>
    <x v="9"/>
    <n v="22.5"/>
  </r>
  <r>
    <n v="55"/>
    <n v="10"/>
    <s v="October"/>
    <n v="10"/>
    <n v="2023"/>
    <d v="2023-10-10T00:00:00"/>
    <s v="CUST055"/>
    <x v="0"/>
    <n v="31"/>
    <x v="0"/>
    <x v="0"/>
    <x v="3"/>
    <n v="30"/>
    <x v="10"/>
    <n v="1.7999999999999998"/>
  </r>
  <r>
    <n v="56"/>
    <n v="31"/>
    <s v="May"/>
    <n v="5"/>
    <n v="2023"/>
    <d v="2023-05-31T00:00:00"/>
    <s v="CUST056"/>
    <x v="1"/>
    <n v="26"/>
    <x v="0"/>
    <x v="1"/>
    <x v="0"/>
    <n v="300"/>
    <x v="12"/>
    <n v="13.5"/>
  </r>
  <r>
    <n v="57"/>
    <n v="18"/>
    <s v="November"/>
    <n v="11"/>
    <n v="2023"/>
    <d v="2023-11-18T00:00:00"/>
    <s v="CUST057"/>
    <x v="1"/>
    <n v="63"/>
    <x v="0"/>
    <x v="0"/>
    <x v="2"/>
    <n v="30"/>
    <x v="2"/>
    <n v="0.44999999999999996"/>
  </r>
  <r>
    <n v="58"/>
    <n v="13"/>
    <s v="November"/>
    <n v="11"/>
    <n v="2023"/>
    <d v="2023-11-13T00:00:00"/>
    <s v="CUST058"/>
    <x v="0"/>
    <n v="18"/>
    <x v="0"/>
    <x v="1"/>
    <x v="3"/>
    <n v="300"/>
    <x v="14"/>
    <n v="18"/>
  </r>
  <r>
    <n v="59"/>
    <n v="5"/>
    <s v="July"/>
    <n v="7"/>
    <n v="2023"/>
    <d v="2023-07-05T00:00:00"/>
    <s v="CUST059"/>
    <x v="0"/>
    <n v="62"/>
    <x v="0"/>
    <x v="1"/>
    <x v="2"/>
    <n v="50"/>
    <x v="5"/>
    <n v="0.75"/>
  </r>
  <r>
    <n v="60"/>
    <n v="23"/>
    <s v="October"/>
    <n v="10"/>
    <n v="2023"/>
    <d v="2023-10-23T00:00:00"/>
    <s v="CUST060"/>
    <x v="0"/>
    <n v="30"/>
    <x v="0"/>
    <x v="0"/>
    <x v="0"/>
    <n v="50"/>
    <x v="0"/>
    <n v="2.25"/>
  </r>
  <r>
    <n v="61"/>
    <n v="9"/>
    <s v="April"/>
    <n v="4"/>
    <n v="2023"/>
    <d v="2023-04-09T00:00:00"/>
    <s v="CUST061"/>
    <x v="0"/>
    <n v="21"/>
    <x v="0"/>
    <x v="0"/>
    <x v="3"/>
    <n v="50"/>
    <x v="7"/>
    <n v="3"/>
  </r>
  <r>
    <n v="62"/>
    <n v="27"/>
    <s v="December"/>
    <n v="12"/>
    <n v="2023"/>
    <d v="2023-12-27T00:00:00"/>
    <s v="CUST062"/>
    <x v="0"/>
    <n v="18"/>
    <x v="0"/>
    <x v="0"/>
    <x v="1"/>
    <n v="50"/>
    <x v="4"/>
    <n v="1.5"/>
  </r>
  <r>
    <n v="63"/>
    <n v="5"/>
    <s v="February"/>
    <n v="2"/>
    <n v="2023"/>
    <d v="2023-02-05T00:00:00"/>
    <s v="CUST063"/>
    <x v="0"/>
    <n v="57"/>
    <x v="0"/>
    <x v="2"/>
    <x v="1"/>
    <n v="25"/>
    <x v="5"/>
    <n v="0.75"/>
  </r>
  <r>
    <n v="64"/>
    <n v="24"/>
    <s v="January"/>
    <n v="1"/>
    <n v="2023"/>
    <d v="2023-01-24T00:00:00"/>
    <s v="CUST064"/>
    <x v="0"/>
    <n v="49"/>
    <x v="0"/>
    <x v="1"/>
    <x v="3"/>
    <n v="25"/>
    <x v="4"/>
    <n v="1.5"/>
  </r>
  <r>
    <n v="65"/>
    <n v="5"/>
    <s v="December"/>
    <n v="12"/>
    <n v="2023"/>
    <d v="2023-12-05T00:00:00"/>
    <s v="CUST065"/>
    <x v="0"/>
    <n v="51"/>
    <x v="0"/>
    <x v="2"/>
    <x v="3"/>
    <n v="500"/>
    <x v="11"/>
    <n v="30"/>
  </r>
  <r>
    <n v="66"/>
    <n v="27"/>
    <s v="April"/>
    <n v="4"/>
    <n v="2023"/>
    <d v="2023-04-27T00:00:00"/>
    <s v="CUST066"/>
    <x v="1"/>
    <n v="45"/>
    <x v="0"/>
    <x v="2"/>
    <x v="2"/>
    <n v="30"/>
    <x v="2"/>
    <n v="0.44999999999999996"/>
  </r>
  <r>
    <n v="67"/>
    <n v="29"/>
    <s v="May"/>
    <n v="5"/>
    <n v="2023"/>
    <d v="2023-05-29T00:00:00"/>
    <s v="CUST067"/>
    <x v="1"/>
    <n v="48"/>
    <x v="0"/>
    <x v="0"/>
    <x v="3"/>
    <n v="300"/>
    <x v="14"/>
    <n v="18"/>
  </r>
  <r>
    <n v="68"/>
    <n v="10"/>
    <s v="February"/>
    <n v="2"/>
    <n v="2023"/>
    <d v="2023-02-10T00:00:00"/>
    <s v="CUST068"/>
    <x v="0"/>
    <n v="25"/>
    <x v="0"/>
    <x v="2"/>
    <x v="2"/>
    <n v="300"/>
    <x v="13"/>
    <n v="4.5"/>
  </r>
  <r>
    <n v="69"/>
    <n v="30"/>
    <s v="April"/>
    <n v="4"/>
    <n v="2023"/>
    <d v="2023-04-30T00:00:00"/>
    <s v="CUST069"/>
    <x v="1"/>
    <n v="56"/>
    <x v="0"/>
    <x v="0"/>
    <x v="0"/>
    <n v="25"/>
    <x v="8"/>
    <n v="1.125"/>
  </r>
  <r>
    <n v="70"/>
    <n v="21"/>
    <s v="February"/>
    <n v="2"/>
    <n v="2023"/>
    <d v="2023-02-21T00:00:00"/>
    <s v="CUST070"/>
    <x v="1"/>
    <n v="43"/>
    <x v="0"/>
    <x v="1"/>
    <x v="2"/>
    <n v="300"/>
    <x v="13"/>
    <n v="4.5"/>
  </r>
  <r>
    <n v="71"/>
    <n v="14"/>
    <s v="July"/>
    <n v="7"/>
    <n v="2023"/>
    <d v="2023-07-14T00:00:00"/>
    <s v="CUST071"/>
    <x v="1"/>
    <n v="51"/>
    <x v="0"/>
    <x v="0"/>
    <x v="3"/>
    <n v="25"/>
    <x v="4"/>
    <n v="1.5"/>
  </r>
  <r>
    <n v="72"/>
    <n v="23"/>
    <s v="May"/>
    <n v="5"/>
    <n v="2023"/>
    <d v="2023-05-23T00:00:00"/>
    <s v="CUST072"/>
    <x v="1"/>
    <n v="20"/>
    <x v="0"/>
    <x v="2"/>
    <x v="3"/>
    <n v="500"/>
    <x v="11"/>
    <n v="30"/>
  </r>
  <r>
    <n v="73"/>
    <n v="21"/>
    <s v="August"/>
    <n v="8"/>
    <n v="2023"/>
    <d v="2023-08-21T00:00:00"/>
    <s v="CUST073"/>
    <x v="0"/>
    <n v="29"/>
    <x v="0"/>
    <x v="2"/>
    <x v="0"/>
    <n v="30"/>
    <x v="15"/>
    <n v="1.3499999999999999"/>
  </r>
  <r>
    <n v="74"/>
    <n v="22"/>
    <s v="November"/>
    <n v="11"/>
    <n v="2023"/>
    <d v="2023-11-22T00:00:00"/>
    <s v="CUST074"/>
    <x v="1"/>
    <n v="18"/>
    <x v="0"/>
    <x v="0"/>
    <x v="3"/>
    <n v="500"/>
    <x v="11"/>
    <n v="30"/>
  </r>
  <r>
    <n v="75"/>
    <n v="6"/>
    <s v="July"/>
    <n v="7"/>
    <n v="2023"/>
    <d v="2023-07-06T00:00:00"/>
    <s v="CUST075"/>
    <x v="0"/>
    <n v="61"/>
    <x v="0"/>
    <x v="0"/>
    <x v="3"/>
    <n v="50"/>
    <x v="7"/>
    <n v="3"/>
  </r>
  <r>
    <n v="76"/>
    <n v="25"/>
    <s v="March"/>
    <n v="3"/>
    <n v="2023"/>
    <d v="2023-03-25T00:00:00"/>
    <s v="CUST076"/>
    <x v="1"/>
    <n v="22"/>
    <x v="0"/>
    <x v="2"/>
    <x v="1"/>
    <n v="50"/>
    <x v="4"/>
    <n v="1.5"/>
  </r>
  <r>
    <n v="77"/>
    <n v="9"/>
    <s v="July"/>
    <n v="7"/>
    <n v="2023"/>
    <d v="2023-07-09T00:00:00"/>
    <s v="CUST077"/>
    <x v="1"/>
    <n v="47"/>
    <x v="0"/>
    <x v="1"/>
    <x v="1"/>
    <n v="50"/>
    <x v="4"/>
    <n v="1.5"/>
  </r>
  <r>
    <n v="78"/>
    <n v="1"/>
    <s v="July"/>
    <n v="7"/>
    <n v="2023"/>
    <d v="2023-07-01T00:00:00"/>
    <s v="CUST078"/>
    <x v="1"/>
    <n v="47"/>
    <x v="0"/>
    <x v="1"/>
    <x v="0"/>
    <n v="500"/>
    <x v="9"/>
    <n v="22.5"/>
  </r>
  <r>
    <n v="79"/>
    <n v="18"/>
    <s v="April"/>
    <n v="4"/>
    <n v="2023"/>
    <d v="2023-04-18T00:00:00"/>
    <s v="CUST079"/>
    <x v="0"/>
    <n v="34"/>
    <x v="0"/>
    <x v="0"/>
    <x v="2"/>
    <n v="300"/>
    <x v="13"/>
    <n v="4.5"/>
  </r>
  <r>
    <n v="80"/>
    <n v="10"/>
    <s v="December"/>
    <n v="12"/>
    <n v="2023"/>
    <d v="2023-12-10T00:00:00"/>
    <s v="CUST080"/>
    <x v="1"/>
    <n v="64"/>
    <x v="0"/>
    <x v="1"/>
    <x v="1"/>
    <n v="30"/>
    <x v="17"/>
    <n v="0.89999999999999991"/>
  </r>
  <r>
    <n v="81"/>
    <n v="17"/>
    <s v="May"/>
    <n v="5"/>
    <n v="2023"/>
    <d v="2023-05-17T00:00:00"/>
    <s v="CUST081"/>
    <x v="0"/>
    <n v="40"/>
    <x v="0"/>
    <x v="2"/>
    <x v="2"/>
    <n v="50"/>
    <x v="5"/>
    <n v="0.75"/>
  </r>
  <r>
    <n v="82"/>
    <n v="26"/>
    <s v="December"/>
    <n v="12"/>
    <n v="2023"/>
    <d v="2023-12-26T00:00:00"/>
    <s v="CUST082"/>
    <x v="1"/>
    <n v="32"/>
    <x v="0"/>
    <x v="0"/>
    <x v="3"/>
    <n v="50"/>
    <x v="7"/>
    <n v="3"/>
  </r>
  <r>
    <n v="83"/>
    <n v="16"/>
    <s v="December"/>
    <n v="12"/>
    <n v="2023"/>
    <d v="2023-12-16T00:00:00"/>
    <s v="CUST083"/>
    <x v="0"/>
    <n v="54"/>
    <x v="0"/>
    <x v="2"/>
    <x v="1"/>
    <n v="50"/>
    <x v="4"/>
    <n v="1.5"/>
  </r>
  <r>
    <n v="84"/>
    <n v="28"/>
    <s v="November"/>
    <n v="11"/>
    <n v="2023"/>
    <d v="2023-11-28T00:00:00"/>
    <s v="CUST084"/>
    <x v="1"/>
    <n v="38"/>
    <x v="0"/>
    <x v="2"/>
    <x v="0"/>
    <n v="30"/>
    <x v="15"/>
    <n v="1.3499999999999999"/>
  </r>
  <r>
    <n v="85"/>
    <n v="6"/>
    <s v="February"/>
    <n v="2"/>
    <n v="2023"/>
    <d v="2023-02-06T00:00:00"/>
    <s v="CUST085"/>
    <x v="0"/>
    <n v="31"/>
    <x v="0"/>
    <x v="1"/>
    <x v="0"/>
    <n v="50"/>
    <x v="0"/>
    <n v="2.25"/>
  </r>
  <r>
    <n v="86"/>
    <n v="8"/>
    <s v="November"/>
    <n v="11"/>
    <n v="2023"/>
    <d v="2023-11-08T00:00:00"/>
    <s v="CUST086"/>
    <x v="0"/>
    <n v="19"/>
    <x v="0"/>
    <x v="0"/>
    <x v="0"/>
    <n v="30"/>
    <x v="15"/>
    <n v="1.3499999999999999"/>
  </r>
  <r>
    <n v="87"/>
    <n v="22"/>
    <s v="November"/>
    <n v="11"/>
    <n v="2023"/>
    <d v="2023-11-22T00:00:00"/>
    <s v="CUST087"/>
    <x v="1"/>
    <n v="28"/>
    <x v="0"/>
    <x v="0"/>
    <x v="1"/>
    <n v="50"/>
    <x v="4"/>
    <n v="1.5"/>
  </r>
  <r>
    <n v="88"/>
    <n v="29"/>
    <s v="March"/>
    <n v="3"/>
    <n v="2023"/>
    <d v="2023-03-29T00:00:00"/>
    <s v="CUST088"/>
    <x v="0"/>
    <n v="56"/>
    <x v="0"/>
    <x v="1"/>
    <x v="2"/>
    <n v="500"/>
    <x v="3"/>
    <n v="7.5"/>
  </r>
  <r>
    <n v="89"/>
    <n v="1"/>
    <s v="October"/>
    <n v="10"/>
    <n v="2023"/>
    <d v="2023-10-01T00:00:00"/>
    <s v="CUST089"/>
    <x v="1"/>
    <n v="55"/>
    <x v="0"/>
    <x v="2"/>
    <x v="3"/>
    <n v="500"/>
    <x v="11"/>
    <n v="30"/>
  </r>
  <r>
    <n v="90"/>
    <n v="6"/>
    <s v="May"/>
    <n v="5"/>
    <n v="2023"/>
    <d v="2023-05-06T00:00:00"/>
    <s v="CUST090"/>
    <x v="1"/>
    <n v="51"/>
    <x v="0"/>
    <x v="2"/>
    <x v="2"/>
    <n v="30"/>
    <x v="2"/>
    <n v="0.44999999999999996"/>
  </r>
  <r>
    <n v="91"/>
    <n v="25"/>
    <s v="March"/>
    <n v="3"/>
    <n v="2023"/>
    <d v="2023-03-25T00:00:00"/>
    <s v="CUST091"/>
    <x v="1"/>
    <n v="55"/>
    <x v="0"/>
    <x v="2"/>
    <x v="2"/>
    <n v="500"/>
    <x v="3"/>
    <n v="7.5"/>
  </r>
  <r>
    <n v="92"/>
    <n v="25"/>
    <s v="August"/>
    <n v="8"/>
    <n v="2023"/>
    <d v="2023-08-25T00:00:00"/>
    <s v="CUST092"/>
    <x v="1"/>
    <n v="51"/>
    <x v="0"/>
    <x v="2"/>
    <x v="3"/>
    <n v="30"/>
    <x v="10"/>
    <n v="1.7999999999999998"/>
  </r>
  <r>
    <n v="93"/>
    <n v="14"/>
    <s v="July"/>
    <n v="7"/>
    <n v="2023"/>
    <d v="2023-07-14T00:00:00"/>
    <s v="CUST093"/>
    <x v="1"/>
    <n v="35"/>
    <x v="0"/>
    <x v="0"/>
    <x v="3"/>
    <n v="500"/>
    <x v="11"/>
    <n v="30"/>
  </r>
  <r>
    <n v="94"/>
    <n v="19"/>
    <s v="May"/>
    <n v="5"/>
    <n v="2023"/>
    <d v="2023-05-19T00:00:00"/>
    <s v="CUST094"/>
    <x v="1"/>
    <n v="47"/>
    <x v="0"/>
    <x v="0"/>
    <x v="1"/>
    <n v="500"/>
    <x v="1"/>
    <n v="15"/>
  </r>
  <r>
    <n v="95"/>
    <n v="24"/>
    <s v="November"/>
    <n v="11"/>
    <n v="2023"/>
    <d v="2023-11-24T00:00:00"/>
    <s v="CUST095"/>
    <x v="1"/>
    <n v="32"/>
    <x v="0"/>
    <x v="1"/>
    <x v="1"/>
    <n v="30"/>
    <x v="17"/>
    <n v="0.89999999999999991"/>
  </r>
  <r>
    <n v="96"/>
    <n v="19"/>
    <s v="December"/>
    <n v="12"/>
    <n v="2023"/>
    <d v="2023-12-19T00:00:00"/>
    <s v="CUST096"/>
    <x v="1"/>
    <n v="44"/>
    <x v="0"/>
    <x v="1"/>
    <x v="1"/>
    <n v="300"/>
    <x v="6"/>
    <n v="9"/>
  </r>
  <r>
    <n v="97"/>
    <n v="13"/>
    <s v="October"/>
    <n v="10"/>
    <n v="2023"/>
    <d v="2023-10-13T00:00:00"/>
    <s v="CUST097"/>
    <x v="1"/>
    <n v="51"/>
    <x v="0"/>
    <x v="0"/>
    <x v="1"/>
    <n v="500"/>
    <x v="1"/>
    <n v="15"/>
  </r>
  <r>
    <n v="98"/>
    <n v="23"/>
    <s v="April"/>
    <n v="4"/>
    <n v="2023"/>
    <d v="2023-04-23T00:00:00"/>
    <s v="CUST098"/>
    <x v="1"/>
    <n v="55"/>
    <x v="0"/>
    <x v="0"/>
    <x v="1"/>
    <n v="50"/>
    <x v="4"/>
    <n v="1.5"/>
  </r>
  <r>
    <n v="99"/>
    <n v="17"/>
    <s v="December"/>
    <n v="12"/>
    <n v="2023"/>
    <d v="2023-12-17T00:00:00"/>
    <s v="CUST099"/>
    <x v="1"/>
    <n v="50"/>
    <x v="0"/>
    <x v="2"/>
    <x v="3"/>
    <n v="300"/>
    <x v="14"/>
    <n v="18"/>
  </r>
  <r>
    <n v="100"/>
    <n v="16"/>
    <s v="June"/>
    <n v="6"/>
    <n v="2023"/>
    <d v="2023-06-16T00:00:00"/>
    <s v="CUST100"/>
    <x v="0"/>
    <n v="41"/>
    <x v="0"/>
    <x v="2"/>
    <x v="2"/>
    <n v="30"/>
    <x v="2"/>
    <n v="0.44999999999999996"/>
  </r>
  <r>
    <n v="101"/>
    <n v="29"/>
    <s v="January"/>
    <n v="1"/>
    <n v="2023"/>
    <d v="2023-01-29T00:00:00"/>
    <s v="CUST101"/>
    <x v="0"/>
    <n v="32"/>
    <x v="0"/>
    <x v="1"/>
    <x v="1"/>
    <n v="300"/>
    <x v="6"/>
    <n v="9"/>
  </r>
  <r>
    <n v="102"/>
    <n v="28"/>
    <s v="April"/>
    <n v="4"/>
    <n v="2023"/>
    <d v="2023-04-28T00:00:00"/>
    <s v="CUST102"/>
    <x v="1"/>
    <n v="47"/>
    <x v="0"/>
    <x v="0"/>
    <x v="1"/>
    <n v="25"/>
    <x v="5"/>
    <n v="0.75"/>
  </r>
  <r>
    <n v="103"/>
    <n v="17"/>
    <s v="January"/>
    <n v="1"/>
    <n v="2023"/>
    <d v="2023-01-17T00:00:00"/>
    <s v="CUST103"/>
    <x v="1"/>
    <n v="59"/>
    <x v="0"/>
    <x v="1"/>
    <x v="2"/>
    <n v="25"/>
    <x v="16"/>
    <n v="0.375"/>
  </r>
  <r>
    <n v="104"/>
    <n v="11"/>
    <s v="June"/>
    <n v="6"/>
    <n v="2023"/>
    <d v="2023-06-11T00:00:00"/>
    <s v="CUST104"/>
    <x v="1"/>
    <n v="34"/>
    <x v="0"/>
    <x v="0"/>
    <x v="1"/>
    <n v="500"/>
    <x v="1"/>
    <n v="15"/>
  </r>
  <r>
    <n v="105"/>
    <n v="25"/>
    <s v="July"/>
    <n v="7"/>
    <n v="2023"/>
    <d v="2023-07-25T00:00:00"/>
    <s v="CUST105"/>
    <x v="1"/>
    <n v="22"/>
    <x v="0"/>
    <x v="2"/>
    <x v="2"/>
    <n v="500"/>
    <x v="3"/>
    <n v="7.5"/>
  </r>
  <r>
    <n v="106"/>
    <n v="18"/>
    <s v="May"/>
    <n v="5"/>
    <n v="2023"/>
    <d v="2023-05-18T00:00:00"/>
    <s v="CUST106"/>
    <x v="1"/>
    <n v="46"/>
    <x v="0"/>
    <x v="1"/>
    <x v="2"/>
    <n v="50"/>
    <x v="5"/>
    <n v="0.75"/>
  </r>
  <r>
    <n v="107"/>
    <n v="3"/>
    <s v="February"/>
    <n v="2"/>
    <n v="2023"/>
    <d v="2023-02-03T00:00:00"/>
    <s v="CUST107"/>
    <x v="1"/>
    <n v="21"/>
    <x v="0"/>
    <x v="1"/>
    <x v="3"/>
    <n v="300"/>
    <x v="14"/>
    <n v="18"/>
  </r>
  <r>
    <n v="108"/>
    <n v="19"/>
    <s v="April"/>
    <n v="4"/>
    <n v="2023"/>
    <d v="2023-04-19T00:00:00"/>
    <s v="CUST108"/>
    <x v="1"/>
    <n v="27"/>
    <x v="0"/>
    <x v="0"/>
    <x v="0"/>
    <n v="25"/>
    <x v="8"/>
    <n v="1.125"/>
  </r>
  <r>
    <n v="109"/>
    <n v="18"/>
    <s v="October"/>
    <n v="10"/>
    <n v="2023"/>
    <d v="2023-10-18T00:00:00"/>
    <s v="CUST109"/>
    <x v="1"/>
    <n v="34"/>
    <x v="0"/>
    <x v="2"/>
    <x v="3"/>
    <n v="500"/>
    <x v="11"/>
    <n v="30"/>
  </r>
  <r>
    <n v="110"/>
    <n v="11"/>
    <s v="June"/>
    <n v="6"/>
    <n v="2023"/>
    <d v="2023-06-11T00:00:00"/>
    <s v="CUST110"/>
    <x v="0"/>
    <n v="27"/>
    <x v="0"/>
    <x v="1"/>
    <x v="0"/>
    <n v="300"/>
    <x v="12"/>
    <n v="13.5"/>
  </r>
  <r>
    <n v="111"/>
    <n v="19"/>
    <s v="April"/>
    <n v="4"/>
    <n v="2023"/>
    <d v="2023-04-19T00:00:00"/>
    <s v="CUST111"/>
    <x v="1"/>
    <n v="34"/>
    <x v="0"/>
    <x v="2"/>
    <x v="0"/>
    <n v="500"/>
    <x v="9"/>
    <n v="22.5"/>
  </r>
  <r>
    <n v="112"/>
    <n v="2"/>
    <s v="December"/>
    <n v="12"/>
    <n v="2023"/>
    <d v="2023-12-02T00:00:00"/>
    <s v="CUST112"/>
    <x v="0"/>
    <n v="37"/>
    <x v="0"/>
    <x v="1"/>
    <x v="0"/>
    <n v="500"/>
    <x v="9"/>
    <n v="22.5"/>
  </r>
  <r>
    <n v="113"/>
    <n v="13"/>
    <s v="September"/>
    <n v="9"/>
    <n v="2023"/>
    <d v="2023-09-13T00:00:00"/>
    <s v="CUST113"/>
    <x v="1"/>
    <n v="41"/>
    <x v="0"/>
    <x v="2"/>
    <x v="1"/>
    <n v="25"/>
    <x v="5"/>
    <n v="0.75"/>
  </r>
  <r>
    <n v="114"/>
    <n v="22"/>
    <s v="July"/>
    <n v="7"/>
    <n v="2023"/>
    <d v="2023-07-22T00:00:00"/>
    <s v="CUST114"/>
    <x v="1"/>
    <n v="22"/>
    <x v="0"/>
    <x v="0"/>
    <x v="3"/>
    <n v="25"/>
    <x v="4"/>
    <n v="1.5"/>
  </r>
  <r>
    <n v="115"/>
    <n v="26"/>
    <s v="November"/>
    <n v="11"/>
    <n v="2023"/>
    <d v="2023-11-26T00:00:00"/>
    <s v="CUST115"/>
    <x v="0"/>
    <n v="51"/>
    <x v="0"/>
    <x v="1"/>
    <x v="0"/>
    <n v="500"/>
    <x v="9"/>
    <n v="22.5"/>
  </r>
  <r>
    <n v="116"/>
    <n v="23"/>
    <s v="August"/>
    <n v="8"/>
    <n v="2023"/>
    <d v="2023-08-23T00:00:00"/>
    <s v="CUST116"/>
    <x v="1"/>
    <n v="23"/>
    <x v="0"/>
    <x v="1"/>
    <x v="2"/>
    <n v="30"/>
    <x v="2"/>
    <n v="0.44999999999999996"/>
  </r>
  <r>
    <n v="117"/>
    <n v="15"/>
    <s v="March"/>
    <n v="3"/>
    <n v="2023"/>
    <d v="2023-03-15T00:00:00"/>
    <s v="CUST117"/>
    <x v="0"/>
    <n v="19"/>
    <x v="0"/>
    <x v="2"/>
    <x v="1"/>
    <n v="500"/>
    <x v="1"/>
    <n v="15"/>
  </r>
  <r>
    <n v="118"/>
    <n v="16"/>
    <s v="May"/>
    <n v="5"/>
    <n v="2023"/>
    <d v="2023-05-16T00:00:00"/>
    <s v="CUST118"/>
    <x v="1"/>
    <n v="30"/>
    <x v="0"/>
    <x v="2"/>
    <x v="3"/>
    <n v="500"/>
    <x v="11"/>
    <n v="30"/>
  </r>
  <r>
    <n v="119"/>
    <n v="13"/>
    <s v="March"/>
    <n v="3"/>
    <n v="2023"/>
    <d v="2023-03-13T00:00:00"/>
    <s v="CUST119"/>
    <x v="1"/>
    <n v="60"/>
    <x v="0"/>
    <x v="1"/>
    <x v="0"/>
    <n v="50"/>
    <x v="0"/>
    <n v="2.25"/>
  </r>
  <r>
    <n v="120"/>
    <n v="7"/>
    <s v="May"/>
    <n v="5"/>
    <n v="2023"/>
    <d v="2023-05-07T00:00:00"/>
    <s v="CUST120"/>
    <x v="0"/>
    <n v="60"/>
    <x v="0"/>
    <x v="0"/>
    <x v="2"/>
    <n v="50"/>
    <x v="5"/>
    <n v="0.75"/>
  </r>
  <r>
    <n v="121"/>
    <n v="15"/>
    <s v="October"/>
    <n v="10"/>
    <n v="2023"/>
    <d v="2023-10-15T00:00:00"/>
    <s v="CUST121"/>
    <x v="1"/>
    <n v="28"/>
    <x v="0"/>
    <x v="2"/>
    <x v="3"/>
    <n v="50"/>
    <x v="7"/>
    <n v="3"/>
  </r>
  <r>
    <n v="122"/>
    <n v="3"/>
    <s v="October"/>
    <n v="10"/>
    <n v="2023"/>
    <d v="2023-10-03T00:00:00"/>
    <s v="CUST122"/>
    <x v="0"/>
    <n v="64"/>
    <x v="0"/>
    <x v="2"/>
    <x v="3"/>
    <n v="30"/>
    <x v="10"/>
    <n v="1.7999999999999998"/>
  </r>
  <r>
    <n v="123"/>
    <n v="15"/>
    <s v="May"/>
    <n v="5"/>
    <n v="2023"/>
    <d v="2023-05-15T00:00:00"/>
    <s v="CUST123"/>
    <x v="1"/>
    <n v="40"/>
    <x v="0"/>
    <x v="2"/>
    <x v="1"/>
    <n v="30"/>
    <x v="17"/>
    <n v="0.89999999999999991"/>
  </r>
  <r>
    <n v="124"/>
    <n v="27"/>
    <s v="October"/>
    <n v="10"/>
    <n v="2023"/>
    <d v="2023-10-27T00:00:00"/>
    <s v="CUST124"/>
    <x v="0"/>
    <n v="33"/>
    <x v="0"/>
    <x v="1"/>
    <x v="3"/>
    <n v="500"/>
    <x v="11"/>
    <n v="30"/>
  </r>
  <r>
    <n v="125"/>
    <n v="8"/>
    <s v="August"/>
    <n v="8"/>
    <n v="2023"/>
    <d v="2023-08-08T00:00:00"/>
    <s v="CUST125"/>
    <x v="0"/>
    <n v="48"/>
    <x v="0"/>
    <x v="1"/>
    <x v="1"/>
    <n v="50"/>
    <x v="4"/>
    <n v="1.5"/>
  </r>
  <r>
    <n v="126"/>
    <n v="26"/>
    <s v="October"/>
    <n v="10"/>
    <n v="2023"/>
    <d v="2023-10-26T00:00:00"/>
    <s v="CUST126"/>
    <x v="1"/>
    <n v="28"/>
    <x v="0"/>
    <x v="1"/>
    <x v="0"/>
    <n v="30"/>
    <x v="15"/>
    <n v="1.3499999999999999"/>
  </r>
  <r>
    <n v="127"/>
    <n v="24"/>
    <s v="July"/>
    <n v="7"/>
    <n v="2023"/>
    <d v="2023-07-24T00:00:00"/>
    <s v="CUST127"/>
    <x v="1"/>
    <n v="33"/>
    <x v="0"/>
    <x v="1"/>
    <x v="1"/>
    <n v="25"/>
    <x v="5"/>
    <n v="0.75"/>
  </r>
  <r>
    <n v="128"/>
    <n v="5"/>
    <s v="July"/>
    <n v="7"/>
    <n v="2023"/>
    <d v="2023-07-05T00:00:00"/>
    <s v="CUST128"/>
    <x v="0"/>
    <n v="25"/>
    <x v="0"/>
    <x v="0"/>
    <x v="2"/>
    <n v="500"/>
    <x v="3"/>
    <n v="7.5"/>
  </r>
  <r>
    <n v="129"/>
    <n v="23"/>
    <s v="April"/>
    <n v="4"/>
    <n v="2023"/>
    <d v="2023-04-23T00:00:00"/>
    <s v="CUST129"/>
    <x v="1"/>
    <n v="21"/>
    <x v="0"/>
    <x v="0"/>
    <x v="1"/>
    <n v="300"/>
    <x v="6"/>
    <n v="9"/>
  </r>
  <r>
    <n v="130"/>
    <n v="12"/>
    <s v="March"/>
    <n v="3"/>
    <n v="2023"/>
    <d v="2023-03-12T00:00:00"/>
    <s v="CUST130"/>
    <x v="1"/>
    <n v="57"/>
    <x v="0"/>
    <x v="1"/>
    <x v="2"/>
    <n v="500"/>
    <x v="3"/>
    <n v="7.5"/>
  </r>
  <r>
    <n v="131"/>
    <n v="18"/>
    <s v="September"/>
    <n v="9"/>
    <n v="2023"/>
    <d v="2023-09-18T00:00:00"/>
    <s v="CUST131"/>
    <x v="1"/>
    <n v="21"/>
    <x v="0"/>
    <x v="0"/>
    <x v="1"/>
    <n v="300"/>
    <x v="6"/>
    <n v="9"/>
  </r>
  <r>
    <n v="132"/>
    <n v="10"/>
    <s v="September"/>
    <n v="9"/>
    <n v="2023"/>
    <d v="2023-09-10T00:00:00"/>
    <s v="CUST132"/>
    <x v="0"/>
    <n v="42"/>
    <x v="0"/>
    <x v="2"/>
    <x v="3"/>
    <n v="50"/>
    <x v="7"/>
    <n v="3"/>
  </r>
  <r>
    <n v="133"/>
    <n v="16"/>
    <s v="February"/>
    <n v="2"/>
    <n v="2023"/>
    <d v="2023-02-16T00:00:00"/>
    <s v="CUST133"/>
    <x v="0"/>
    <n v="20"/>
    <x v="0"/>
    <x v="2"/>
    <x v="0"/>
    <n v="300"/>
    <x v="12"/>
    <n v="13.5"/>
  </r>
  <r>
    <n v="134"/>
    <n v="25"/>
    <s v="January"/>
    <n v="1"/>
    <n v="2023"/>
    <d v="2023-01-25T00:00:00"/>
    <s v="CUST134"/>
    <x v="0"/>
    <n v="49"/>
    <x v="0"/>
    <x v="2"/>
    <x v="2"/>
    <n v="50"/>
    <x v="5"/>
    <n v="0.75"/>
  </r>
  <r>
    <n v="135"/>
    <n v="26"/>
    <s v="February"/>
    <n v="2"/>
    <n v="2023"/>
    <d v="2023-02-26T00:00:00"/>
    <s v="CUST135"/>
    <x v="0"/>
    <n v="20"/>
    <x v="0"/>
    <x v="1"/>
    <x v="1"/>
    <n v="25"/>
    <x v="5"/>
    <n v="0.75"/>
  </r>
  <r>
    <n v="136"/>
    <n v="20"/>
    <s v="March"/>
    <n v="3"/>
    <n v="2023"/>
    <d v="2023-03-20T00:00:00"/>
    <s v="CUST136"/>
    <x v="0"/>
    <n v="44"/>
    <x v="0"/>
    <x v="2"/>
    <x v="1"/>
    <n v="300"/>
    <x v="6"/>
    <n v="9"/>
  </r>
  <r>
    <n v="137"/>
    <n v="18"/>
    <s v="November"/>
    <n v="11"/>
    <n v="2023"/>
    <d v="2023-11-18T00:00:00"/>
    <s v="CUST137"/>
    <x v="0"/>
    <n v="46"/>
    <x v="0"/>
    <x v="0"/>
    <x v="1"/>
    <n v="500"/>
    <x v="1"/>
    <n v="15"/>
  </r>
  <r>
    <n v="138"/>
    <n v="23"/>
    <s v="March"/>
    <n v="3"/>
    <n v="2023"/>
    <d v="2023-03-23T00:00:00"/>
    <s v="CUST138"/>
    <x v="0"/>
    <n v="49"/>
    <x v="0"/>
    <x v="1"/>
    <x v="3"/>
    <n v="50"/>
    <x v="7"/>
    <n v="3"/>
  </r>
  <r>
    <n v="139"/>
    <n v="15"/>
    <s v="December"/>
    <n v="12"/>
    <n v="2023"/>
    <d v="2023-12-15T00:00:00"/>
    <s v="CUST139"/>
    <x v="0"/>
    <n v="36"/>
    <x v="0"/>
    <x v="0"/>
    <x v="3"/>
    <n v="500"/>
    <x v="11"/>
    <n v="30"/>
  </r>
  <r>
    <n v="140"/>
    <n v="5"/>
    <s v="August"/>
    <n v="8"/>
    <n v="2023"/>
    <d v="2023-08-05T00:00:00"/>
    <s v="CUST140"/>
    <x v="0"/>
    <n v="38"/>
    <x v="0"/>
    <x v="2"/>
    <x v="2"/>
    <n v="30"/>
    <x v="2"/>
    <n v="0.44999999999999996"/>
  </r>
  <r>
    <n v="141"/>
    <n v="2"/>
    <s v="November"/>
    <n v="11"/>
    <n v="2023"/>
    <d v="2023-11-02T00:00:00"/>
    <s v="CUST141"/>
    <x v="1"/>
    <n v="22"/>
    <x v="0"/>
    <x v="2"/>
    <x v="2"/>
    <n v="50"/>
    <x v="5"/>
    <n v="0.75"/>
  </r>
  <r>
    <n v="142"/>
    <n v="2"/>
    <s v="February"/>
    <n v="2"/>
    <n v="2023"/>
    <d v="2023-02-02T00:00:00"/>
    <s v="CUST142"/>
    <x v="0"/>
    <n v="35"/>
    <x v="0"/>
    <x v="2"/>
    <x v="3"/>
    <n v="300"/>
    <x v="14"/>
    <n v="18"/>
  </r>
  <r>
    <n v="143"/>
    <n v="17"/>
    <s v="July"/>
    <n v="7"/>
    <n v="2023"/>
    <d v="2023-07-17T00:00:00"/>
    <s v="CUST143"/>
    <x v="1"/>
    <n v="45"/>
    <x v="0"/>
    <x v="1"/>
    <x v="2"/>
    <n v="50"/>
    <x v="5"/>
    <n v="0.75"/>
  </r>
  <r>
    <n v="144"/>
    <n v="15"/>
    <s v="July"/>
    <n v="7"/>
    <n v="2023"/>
    <d v="2023-07-15T00:00:00"/>
    <s v="CUST144"/>
    <x v="1"/>
    <n v="59"/>
    <x v="0"/>
    <x v="0"/>
    <x v="0"/>
    <n v="500"/>
    <x v="9"/>
    <n v="22.5"/>
  </r>
  <r>
    <n v="145"/>
    <n v="2"/>
    <s v="November"/>
    <n v="11"/>
    <n v="2023"/>
    <d v="2023-11-02T00:00:00"/>
    <s v="CUST145"/>
    <x v="1"/>
    <n v="39"/>
    <x v="0"/>
    <x v="1"/>
    <x v="0"/>
    <n v="25"/>
    <x v="8"/>
    <n v="1.125"/>
  </r>
  <r>
    <n v="146"/>
    <n v="28"/>
    <s v="August"/>
    <n v="8"/>
    <n v="2023"/>
    <d v="2023-08-28T00:00:00"/>
    <s v="CUST146"/>
    <x v="0"/>
    <n v="38"/>
    <x v="0"/>
    <x v="1"/>
    <x v="3"/>
    <n v="50"/>
    <x v="7"/>
    <n v="3"/>
  </r>
  <r>
    <n v="147"/>
    <n v="28"/>
    <s v="September"/>
    <n v="9"/>
    <n v="2023"/>
    <d v="2023-09-28T00:00:00"/>
    <s v="CUST147"/>
    <x v="0"/>
    <n v="23"/>
    <x v="0"/>
    <x v="2"/>
    <x v="2"/>
    <n v="300"/>
    <x v="13"/>
    <n v="4.5"/>
  </r>
  <r>
    <n v="148"/>
    <n v="9"/>
    <s v="May"/>
    <n v="5"/>
    <n v="2023"/>
    <d v="2023-05-09T00:00:00"/>
    <s v="CUST148"/>
    <x v="0"/>
    <n v="18"/>
    <x v="0"/>
    <x v="1"/>
    <x v="1"/>
    <n v="30"/>
    <x v="17"/>
    <n v="0.89999999999999991"/>
  </r>
  <r>
    <n v="149"/>
    <n v="11"/>
    <s v="October"/>
    <n v="10"/>
    <n v="2023"/>
    <d v="2023-10-11T00:00:00"/>
    <s v="CUST149"/>
    <x v="0"/>
    <n v="22"/>
    <x v="0"/>
    <x v="1"/>
    <x v="0"/>
    <n v="25"/>
    <x v="8"/>
    <n v="1.125"/>
  </r>
  <r>
    <n v="150"/>
    <n v="6"/>
    <s v="January"/>
    <n v="1"/>
    <n v="2023"/>
    <d v="2023-01-06T00:00:00"/>
    <s v="CUST150"/>
    <x v="1"/>
    <n v="58"/>
    <x v="0"/>
    <x v="2"/>
    <x v="3"/>
    <n v="30"/>
    <x v="10"/>
    <n v="1.7999999999999998"/>
  </r>
  <r>
    <n v="151"/>
    <n v="15"/>
    <s v="December"/>
    <n v="12"/>
    <n v="2023"/>
    <d v="2023-12-15T00:00:00"/>
    <s v="CUST151"/>
    <x v="0"/>
    <n v="29"/>
    <x v="0"/>
    <x v="1"/>
    <x v="2"/>
    <n v="50"/>
    <x v="5"/>
    <n v="0.75"/>
  </r>
  <r>
    <n v="152"/>
    <n v="28"/>
    <s v="February"/>
    <n v="2"/>
    <n v="2023"/>
    <d v="2023-02-28T00:00:00"/>
    <s v="CUST152"/>
    <x v="0"/>
    <n v="43"/>
    <x v="0"/>
    <x v="2"/>
    <x v="3"/>
    <n v="500"/>
    <x v="11"/>
    <n v="30"/>
  </r>
  <r>
    <n v="153"/>
    <n v="16"/>
    <s v="December"/>
    <n v="12"/>
    <n v="2023"/>
    <d v="2023-12-16T00:00:00"/>
    <s v="CUST153"/>
    <x v="0"/>
    <n v="63"/>
    <x v="0"/>
    <x v="2"/>
    <x v="1"/>
    <n v="500"/>
    <x v="1"/>
    <n v="15"/>
  </r>
  <r>
    <n v="154"/>
    <n v="2"/>
    <s v="October"/>
    <n v="10"/>
    <n v="2023"/>
    <d v="2023-10-02T00:00:00"/>
    <s v="CUST154"/>
    <x v="0"/>
    <n v="51"/>
    <x v="0"/>
    <x v="2"/>
    <x v="0"/>
    <n v="300"/>
    <x v="12"/>
    <n v="13.5"/>
  </r>
  <r>
    <n v="155"/>
    <n v="17"/>
    <s v="May"/>
    <n v="5"/>
    <n v="2023"/>
    <d v="2023-05-17T00:00:00"/>
    <s v="CUST155"/>
    <x v="0"/>
    <n v="31"/>
    <x v="0"/>
    <x v="2"/>
    <x v="3"/>
    <n v="500"/>
    <x v="11"/>
    <n v="30"/>
  </r>
  <r>
    <n v="156"/>
    <n v="25"/>
    <s v="November"/>
    <n v="11"/>
    <n v="2023"/>
    <d v="2023-11-25T00:00:00"/>
    <s v="CUST156"/>
    <x v="1"/>
    <n v="43"/>
    <x v="0"/>
    <x v="1"/>
    <x v="3"/>
    <n v="25"/>
    <x v="4"/>
    <n v="1.5"/>
  </r>
  <r>
    <n v="157"/>
    <n v="24"/>
    <s v="June"/>
    <n v="6"/>
    <n v="2023"/>
    <d v="2023-06-24T00:00:00"/>
    <s v="CUST157"/>
    <x v="0"/>
    <n v="62"/>
    <x v="0"/>
    <x v="2"/>
    <x v="3"/>
    <n v="500"/>
    <x v="11"/>
    <n v="30"/>
  </r>
  <r>
    <n v="158"/>
    <n v="27"/>
    <s v="February"/>
    <n v="2"/>
    <n v="2023"/>
    <d v="2023-02-27T00:00:00"/>
    <s v="CUST158"/>
    <x v="1"/>
    <n v="44"/>
    <x v="0"/>
    <x v="2"/>
    <x v="1"/>
    <n v="300"/>
    <x v="6"/>
    <n v="9"/>
  </r>
  <r>
    <n v="159"/>
    <n v="31"/>
    <s v="May"/>
    <n v="5"/>
    <n v="2023"/>
    <d v="2023-05-31T00:00:00"/>
    <s v="CUST159"/>
    <x v="0"/>
    <n v="26"/>
    <x v="0"/>
    <x v="1"/>
    <x v="3"/>
    <n v="50"/>
    <x v="7"/>
    <n v="3"/>
  </r>
  <r>
    <n v="160"/>
    <n v="11"/>
    <s v="August"/>
    <n v="8"/>
    <n v="2023"/>
    <d v="2023-08-11T00:00:00"/>
    <s v="CUST160"/>
    <x v="1"/>
    <n v="43"/>
    <x v="0"/>
    <x v="1"/>
    <x v="1"/>
    <n v="50"/>
    <x v="4"/>
    <n v="1.5"/>
  </r>
  <r>
    <n v="161"/>
    <n v="22"/>
    <s v="March"/>
    <n v="3"/>
    <n v="2023"/>
    <d v="2023-03-22T00:00:00"/>
    <s v="CUST161"/>
    <x v="0"/>
    <n v="64"/>
    <x v="0"/>
    <x v="0"/>
    <x v="1"/>
    <n v="500"/>
    <x v="1"/>
    <n v="15"/>
  </r>
  <r>
    <n v="162"/>
    <n v="21"/>
    <s v="August"/>
    <n v="8"/>
    <n v="2023"/>
    <d v="2023-08-21T00:00:00"/>
    <s v="CUST162"/>
    <x v="0"/>
    <n v="39"/>
    <x v="0"/>
    <x v="1"/>
    <x v="1"/>
    <n v="30"/>
    <x v="17"/>
    <n v="0.89999999999999991"/>
  </r>
  <r>
    <n v="163"/>
    <n v="2"/>
    <s v="January"/>
    <n v="1"/>
    <n v="2023"/>
    <d v="2023-01-02T00:00:00"/>
    <s v="CUST163"/>
    <x v="1"/>
    <n v="64"/>
    <x v="0"/>
    <x v="1"/>
    <x v="0"/>
    <n v="50"/>
    <x v="0"/>
    <n v="2.25"/>
  </r>
  <r>
    <n v="164"/>
    <n v="15"/>
    <s v="May"/>
    <n v="5"/>
    <n v="2023"/>
    <d v="2023-05-15T00:00:00"/>
    <s v="CUST164"/>
    <x v="1"/>
    <n v="47"/>
    <x v="0"/>
    <x v="0"/>
    <x v="0"/>
    <n v="500"/>
    <x v="9"/>
    <n v="22.5"/>
  </r>
  <r>
    <n v="165"/>
    <n v="14"/>
    <s v="September"/>
    <n v="9"/>
    <n v="2023"/>
    <d v="2023-09-14T00:00:00"/>
    <s v="CUST165"/>
    <x v="1"/>
    <n v="60"/>
    <x v="0"/>
    <x v="1"/>
    <x v="3"/>
    <n v="300"/>
    <x v="14"/>
    <n v="18"/>
  </r>
  <r>
    <n v="166"/>
    <n v="2"/>
    <s v="April"/>
    <n v="4"/>
    <n v="2023"/>
    <d v="2023-04-02T00:00:00"/>
    <s v="CUST166"/>
    <x v="0"/>
    <n v="34"/>
    <x v="0"/>
    <x v="1"/>
    <x v="3"/>
    <n v="500"/>
    <x v="11"/>
    <n v="30"/>
  </r>
  <r>
    <n v="167"/>
    <n v="17"/>
    <s v="September"/>
    <n v="9"/>
    <n v="2023"/>
    <d v="2023-09-17T00:00:00"/>
    <s v="CUST167"/>
    <x v="1"/>
    <n v="43"/>
    <x v="0"/>
    <x v="1"/>
    <x v="0"/>
    <n v="50"/>
    <x v="0"/>
    <n v="2.25"/>
  </r>
  <r>
    <n v="168"/>
    <n v="24"/>
    <s v="February"/>
    <n v="2"/>
    <n v="2023"/>
    <d v="2023-02-24T00:00:00"/>
    <s v="CUST168"/>
    <x v="0"/>
    <n v="53"/>
    <x v="0"/>
    <x v="1"/>
    <x v="2"/>
    <n v="300"/>
    <x v="13"/>
    <n v="4.5"/>
  </r>
  <r>
    <n v="169"/>
    <n v="17"/>
    <s v="November"/>
    <n v="11"/>
    <n v="2023"/>
    <d v="2023-11-17T00:00:00"/>
    <s v="CUST169"/>
    <x v="0"/>
    <n v="18"/>
    <x v="0"/>
    <x v="0"/>
    <x v="0"/>
    <n v="500"/>
    <x v="9"/>
    <n v="22.5"/>
  </r>
  <r>
    <n v="170"/>
    <n v="2"/>
    <s v="June"/>
    <n v="6"/>
    <n v="2023"/>
    <d v="2023-06-02T00:00:00"/>
    <s v="CUST170"/>
    <x v="1"/>
    <n v="25"/>
    <x v="0"/>
    <x v="1"/>
    <x v="1"/>
    <n v="25"/>
    <x v="5"/>
    <n v="0.75"/>
  </r>
  <r>
    <n v="171"/>
    <n v="24"/>
    <s v="November"/>
    <n v="11"/>
    <n v="2023"/>
    <d v="2023-11-24T00:00:00"/>
    <s v="CUST171"/>
    <x v="1"/>
    <n v="52"/>
    <x v="0"/>
    <x v="1"/>
    <x v="0"/>
    <n v="300"/>
    <x v="12"/>
    <n v="13.5"/>
  </r>
  <r>
    <n v="172"/>
    <n v="17"/>
    <s v="September"/>
    <n v="9"/>
    <n v="2023"/>
    <d v="2023-09-17T00:00:00"/>
    <s v="CUST172"/>
    <x v="0"/>
    <n v="32"/>
    <x v="0"/>
    <x v="0"/>
    <x v="1"/>
    <n v="25"/>
    <x v="5"/>
    <n v="0.75"/>
  </r>
  <r>
    <n v="173"/>
    <n v="8"/>
    <s v="November"/>
    <n v="11"/>
    <n v="2023"/>
    <d v="2023-11-08T00:00:00"/>
    <s v="CUST173"/>
    <x v="0"/>
    <n v="64"/>
    <x v="0"/>
    <x v="2"/>
    <x v="3"/>
    <n v="30"/>
    <x v="10"/>
    <n v="1.7999999999999998"/>
  </r>
  <r>
    <n v="174"/>
    <n v="12"/>
    <s v="April"/>
    <n v="4"/>
    <n v="2023"/>
    <d v="2023-04-12T00:00:00"/>
    <s v="CUST174"/>
    <x v="1"/>
    <n v="39"/>
    <x v="0"/>
    <x v="0"/>
    <x v="2"/>
    <n v="300"/>
    <x v="13"/>
    <n v="4.5"/>
  </r>
  <r>
    <n v="175"/>
    <n v="20"/>
    <s v="March"/>
    <n v="3"/>
    <n v="2023"/>
    <d v="2023-03-20T00:00:00"/>
    <s v="CUST175"/>
    <x v="1"/>
    <n v="31"/>
    <x v="0"/>
    <x v="2"/>
    <x v="3"/>
    <n v="25"/>
    <x v="4"/>
    <n v="1.5"/>
  </r>
  <r>
    <n v="176"/>
    <n v="11"/>
    <s v="July"/>
    <n v="7"/>
    <n v="2023"/>
    <d v="2023-07-11T00:00:00"/>
    <s v="CUST176"/>
    <x v="1"/>
    <n v="43"/>
    <x v="0"/>
    <x v="0"/>
    <x v="1"/>
    <n v="50"/>
    <x v="4"/>
    <n v="1.5"/>
  </r>
  <r>
    <n v="177"/>
    <n v="24"/>
    <s v="March"/>
    <n v="3"/>
    <n v="2023"/>
    <d v="2023-03-24T00:00:00"/>
    <s v="CUST177"/>
    <x v="0"/>
    <n v="45"/>
    <x v="0"/>
    <x v="0"/>
    <x v="1"/>
    <n v="50"/>
    <x v="4"/>
    <n v="1.5"/>
  </r>
  <r>
    <n v="178"/>
    <n v="4"/>
    <s v="October"/>
    <n v="10"/>
    <n v="2023"/>
    <d v="2023-10-04T00:00:00"/>
    <s v="CUST178"/>
    <x v="0"/>
    <n v="40"/>
    <x v="0"/>
    <x v="1"/>
    <x v="1"/>
    <n v="30"/>
    <x v="17"/>
    <n v="0.89999999999999991"/>
  </r>
  <r>
    <n v="179"/>
    <n v="29"/>
    <s v="September"/>
    <n v="9"/>
    <n v="2023"/>
    <d v="2023-09-29T00:00:00"/>
    <s v="CUST179"/>
    <x v="0"/>
    <n v="31"/>
    <x v="0"/>
    <x v="2"/>
    <x v="2"/>
    <n v="300"/>
    <x v="13"/>
    <n v="4.5"/>
  </r>
  <r>
    <n v="180"/>
    <n v="1"/>
    <s v="January"/>
    <n v="1"/>
    <n v="2023"/>
    <d v="2023-01-01T00:00:00"/>
    <s v="CUST180"/>
    <x v="0"/>
    <n v="41"/>
    <x v="0"/>
    <x v="1"/>
    <x v="0"/>
    <n v="300"/>
    <x v="12"/>
    <n v="13.5"/>
  </r>
  <r>
    <n v="181"/>
    <n v="3"/>
    <s v="November"/>
    <n v="11"/>
    <n v="2023"/>
    <d v="2023-11-03T00:00:00"/>
    <s v="CUST181"/>
    <x v="0"/>
    <n v="19"/>
    <x v="0"/>
    <x v="2"/>
    <x v="3"/>
    <n v="300"/>
    <x v="14"/>
    <n v="18"/>
  </r>
  <r>
    <n v="182"/>
    <n v="15"/>
    <s v="June"/>
    <n v="6"/>
    <n v="2023"/>
    <d v="2023-06-15T00:00:00"/>
    <s v="CUST182"/>
    <x v="0"/>
    <n v="62"/>
    <x v="0"/>
    <x v="0"/>
    <x v="3"/>
    <n v="30"/>
    <x v="10"/>
    <n v="1.7999999999999998"/>
  </r>
  <r>
    <n v="183"/>
    <n v="8"/>
    <s v="September"/>
    <n v="9"/>
    <n v="2023"/>
    <d v="2023-09-08T00:00:00"/>
    <s v="CUST183"/>
    <x v="1"/>
    <n v="43"/>
    <x v="0"/>
    <x v="0"/>
    <x v="0"/>
    <n v="300"/>
    <x v="12"/>
    <n v="13.5"/>
  </r>
  <r>
    <n v="184"/>
    <n v="10"/>
    <s v="January"/>
    <n v="1"/>
    <n v="2023"/>
    <d v="2023-01-10T00:00:00"/>
    <s v="CUST184"/>
    <x v="0"/>
    <n v="31"/>
    <x v="0"/>
    <x v="2"/>
    <x v="3"/>
    <n v="50"/>
    <x v="7"/>
    <n v="3"/>
  </r>
  <r>
    <n v="185"/>
    <n v="27"/>
    <s v="February"/>
    <n v="2"/>
    <n v="2023"/>
    <d v="2023-02-27T00:00:00"/>
    <s v="CUST185"/>
    <x v="0"/>
    <n v="24"/>
    <x v="0"/>
    <x v="1"/>
    <x v="2"/>
    <n v="25"/>
    <x v="16"/>
    <n v="0.375"/>
  </r>
  <r>
    <n v="186"/>
    <n v="5"/>
    <s v="July"/>
    <n v="7"/>
    <n v="2023"/>
    <d v="2023-07-05T00:00:00"/>
    <s v="CUST186"/>
    <x v="0"/>
    <n v="20"/>
    <x v="0"/>
    <x v="1"/>
    <x v="3"/>
    <n v="50"/>
    <x v="7"/>
    <n v="3"/>
  </r>
  <r>
    <n v="187"/>
    <n v="7"/>
    <s v="June"/>
    <n v="6"/>
    <n v="2023"/>
    <d v="2023-06-07T00:00:00"/>
    <s v="CUST187"/>
    <x v="1"/>
    <n v="64"/>
    <x v="0"/>
    <x v="1"/>
    <x v="1"/>
    <n v="50"/>
    <x v="4"/>
    <n v="1.5"/>
  </r>
  <r>
    <n v="188"/>
    <n v="3"/>
    <s v="May"/>
    <n v="5"/>
    <n v="2023"/>
    <d v="2023-05-03T00:00:00"/>
    <s v="CUST188"/>
    <x v="0"/>
    <n v="40"/>
    <x v="0"/>
    <x v="1"/>
    <x v="0"/>
    <n v="25"/>
    <x v="8"/>
    <n v="1.125"/>
  </r>
  <r>
    <n v="189"/>
    <n v="30"/>
    <s v="January"/>
    <n v="1"/>
    <n v="2023"/>
    <d v="2023-01-30T00:00:00"/>
    <s v="CUST189"/>
    <x v="0"/>
    <n v="63"/>
    <x v="0"/>
    <x v="0"/>
    <x v="2"/>
    <n v="50"/>
    <x v="5"/>
    <n v="0.75"/>
  </r>
  <r>
    <n v="190"/>
    <n v="4"/>
    <s v="May"/>
    <n v="5"/>
    <n v="2023"/>
    <d v="2023-05-04T00:00:00"/>
    <s v="CUST190"/>
    <x v="1"/>
    <n v="60"/>
    <x v="0"/>
    <x v="0"/>
    <x v="0"/>
    <n v="30"/>
    <x v="15"/>
    <n v="1.3499999999999999"/>
  </r>
  <r>
    <n v="191"/>
    <n v="18"/>
    <s v="October"/>
    <n v="10"/>
    <n v="2023"/>
    <d v="2023-10-18T00:00:00"/>
    <s v="CUST191"/>
    <x v="0"/>
    <n v="64"/>
    <x v="0"/>
    <x v="0"/>
    <x v="2"/>
    <n v="25"/>
    <x v="16"/>
    <n v="0.375"/>
  </r>
  <r>
    <n v="192"/>
    <n v="10"/>
    <s v="February"/>
    <n v="2"/>
    <n v="2023"/>
    <d v="2023-02-10T00:00:00"/>
    <s v="CUST192"/>
    <x v="0"/>
    <n v="62"/>
    <x v="0"/>
    <x v="0"/>
    <x v="1"/>
    <n v="50"/>
    <x v="4"/>
    <n v="1.5"/>
  </r>
  <r>
    <n v="193"/>
    <n v="13"/>
    <s v="February"/>
    <n v="2"/>
    <n v="2023"/>
    <d v="2023-02-13T00:00:00"/>
    <s v="CUST193"/>
    <x v="0"/>
    <n v="35"/>
    <x v="0"/>
    <x v="0"/>
    <x v="0"/>
    <n v="500"/>
    <x v="9"/>
    <n v="22.5"/>
  </r>
  <r>
    <n v="194"/>
    <n v="6"/>
    <s v="September"/>
    <n v="9"/>
    <n v="2023"/>
    <d v="2023-09-06T00:00:00"/>
    <s v="CUST194"/>
    <x v="0"/>
    <n v="55"/>
    <x v="0"/>
    <x v="1"/>
    <x v="3"/>
    <n v="50"/>
    <x v="7"/>
    <n v="3"/>
  </r>
  <r>
    <n v="195"/>
    <n v="5"/>
    <s v="February"/>
    <n v="2"/>
    <n v="2023"/>
    <d v="2023-02-05T00:00:00"/>
    <s v="CUST195"/>
    <x v="0"/>
    <n v="52"/>
    <x v="0"/>
    <x v="1"/>
    <x v="2"/>
    <n v="30"/>
    <x v="2"/>
    <n v="0.44999999999999996"/>
  </r>
  <r>
    <n v="196"/>
    <n v="30"/>
    <s v="September"/>
    <n v="9"/>
    <n v="2023"/>
    <d v="2023-09-30T00:00:00"/>
    <s v="CUST196"/>
    <x v="1"/>
    <n v="32"/>
    <x v="0"/>
    <x v="1"/>
    <x v="0"/>
    <n v="300"/>
    <x v="12"/>
    <n v="13.5"/>
  </r>
  <r>
    <n v="197"/>
    <n v="6"/>
    <s v="March"/>
    <n v="3"/>
    <n v="2023"/>
    <d v="2023-03-06T00:00:00"/>
    <s v="CUST197"/>
    <x v="1"/>
    <n v="42"/>
    <x v="0"/>
    <x v="1"/>
    <x v="3"/>
    <n v="50"/>
    <x v="7"/>
    <n v="3"/>
  </r>
  <r>
    <n v="198"/>
    <n v="7"/>
    <s v="March"/>
    <n v="3"/>
    <n v="2023"/>
    <d v="2023-03-07T00:00:00"/>
    <s v="CUST198"/>
    <x v="1"/>
    <n v="54"/>
    <x v="0"/>
    <x v="0"/>
    <x v="0"/>
    <n v="300"/>
    <x v="12"/>
    <n v="13.5"/>
  </r>
  <r>
    <n v="199"/>
    <n v="4"/>
    <s v="December"/>
    <n v="12"/>
    <n v="2023"/>
    <d v="2023-12-04T00:00:00"/>
    <s v="CUST199"/>
    <x v="0"/>
    <n v="45"/>
    <x v="0"/>
    <x v="0"/>
    <x v="0"/>
    <n v="500"/>
    <x v="9"/>
    <n v="22.5"/>
  </r>
  <r>
    <n v="200"/>
    <n v="1"/>
    <s v="September"/>
    <n v="9"/>
    <n v="2023"/>
    <d v="2023-09-01T00:00:00"/>
    <s v="CUST200"/>
    <x v="0"/>
    <n v="27"/>
    <x v="0"/>
    <x v="0"/>
    <x v="0"/>
    <n v="50"/>
    <x v="0"/>
    <n v="2.25"/>
  </r>
  <r>
    <n v="201"/>
    <n v="9"/>
    <s v="October"/>
    <n v="10"/>
    <n v="2023"/>
    <d v="2023-10-09T00:00:00"/>
    <s v="CUST201"/>
    <x v="0"/>
    <n v="56"/>
    <x v="0"/>
    <x v="2"/>
    <x v="2"/>
    <n v="25"/>
    <x v="16"/>
    <n v="0.375"/>
  </r>
  <r>
    <n v="202"/>
    <n v="26"/>
    <s v="March"/>
    <n v="3"/>
    <n v="2023"/>
    <d v="2023-03-26T00:00:00"/>
    <s v="CUST202"/>
    <x v="1"/>
    <n v="34"/>
    <x v="0"/>
    <x v="1"/>
    <x v="3"/>
    <n v="300"/>
    <x v="14"/>
    <n v="18"/>
  </r>
  <r>
    <n v="203"/>
    <n v="16"/>
    <s v="May"/>
    <n v="5"/>
    <n v="2023"/>
    <d v="2023-05-16T00:00:00"/>
    <s v="CUST203"/>
    <x v="0"/>
    <n v="56"/>
    <x v="0"/>
    <x v="1"/>
    <x v="1"/>
    <n v="500"/>
    <x v="1"/>
    <n v="15"/>
  </r>
  <r>
    <n v="204"/>
    <n v="28"/>
    <s v="September"/>
    <n v="9"/>
    <n v="2023"/>
    <d v="2023-09-28T00:00:00"/>
    <s v="CUST204"/>
    <x v="0"/>
    <n v="39"/>
    <x v="0"/>
    <x v="0"/>
    <x v="2"/>
    <n v="25"/>
    <x v="16"/>
    <n v="0.375"/>
  </r>
  <r>
    <n v="205"/>
    <n v="7"/>
    <s v="November"/>
    <n v="11"/>
    <n v="2023"/>
    <d v="2023-11-07T00:00:00"/>
    <s v="CUST205"/>
    <x v="1"/>
    <n v="43"/>
    <x v="0"/>
    <x v="1"/>
    <x v="2"/>
    <n v="25"/>
    <x v="16"/>
    <n v="0.375"/>
  </r>
  <r>
    <n v="206"/>
    <n v="5"/>
    <s v="August"/>
    <n v="8"/>
    <n v="2023"/>
    <d v="2023-08-05T00:00:00"/>
    <s v="CUST206"/>
    <x v="0"/>
    <n v="61"/>
    <x v="0"/>
    <x v="1"/>
    <x v="2"/>
    <n v="25"/>
    <x v="16"/>
    <n v="0.375"/>
  </r>
  <r>
    <n v="207"/>
    <n v="19"/>
    <s v="April"/>
    <n v="4"/>
    <n v="2023"/>
    <d v="2023-04-19T00:00:00"/>
    <s v="CUST207"/>
    <x v="1"/>
    <n v="42"/>
    <x v="0"/>
    <x v="0"/>
    <x v="1"/>
    <n v="25"/>
    <x v="5"/>
    <n v="0.75"/>
  </r>
  <r>
    <n v="208"/>
    <n v="4"/>
    <s v="October"/>
    <n v="10"/>
    <n v="2023"/>
    <d v="2023-10-04T00:00:00"/>
    <s v="CUST208"/>
    <x v="1"/>
    <n v="34"/>
    <x v="0"/>
    <x v="2"/>
    <x v="3"/>
    <n v="50"/>
    <x v="7"/>
    <n v="3"/>
  </r>
  <r>
    <n v="209"/>
    <n v="20"/>
    <s v="December"/>
    <n v="12"/>
    <n v="2023"/>
    <d v="2023-12-20T00:00:00"/>
    <s v="CUST209"/>
    <x v="1"/>
    <n v="30"/>
    <x v="0"/>
    <x v="2"/>
    <x v="3"/>
    <n v="50"/>
    <x v="7"/>
    <n v="3"/>
  </r>
  <r>
    <n v="210"/>
    <n v="13"/>
    <s v="April"/>
    <n v="4"/>
    <n v="2023"/>
    <d v="2023-04-13T00:00:00"/>
    <s v="CUST210"/>
    <x v="0"/>
    <n v="37"/>
    <x v="0"/>
    <x v="2"/>
    <x v="3"/>
    <n v="50"/>
    <x v="7"/>
    <n v="3"/>
  </r>
  <r>
    <n v="211"/>
    <n v="1"/>
    <s v="January"/>
    <n v="1"/>
    <n v="2024"/>
    <d v="2024-01-01T00:00:00"/>
    <s v="CUST211"/>
    <x v="0"/>
    <n v="42"/>
    <x v="0"/>
    <x v="0"/>
    <x v="0"/>
    <n v="500"/>
    <x v="9"/>
    <n v="22.5"/>
  </r>
  <r>
    <n v="212"/>
    <n v="9"/>
    <s v="June"/>
    <n v="6"/>
    <n v="2023"/>
    <d v="2023-06-09T00:00:00"/>
    <s v="CUST212"/>
    <x v="0"/>
    <n v="21"/>
    <x v="0"/>
    <x v="1"/>
    <x v="0"/>
    <n v="500"/>
    <x v="9"/>
    <n v="22.5"/>
  </r>
  <r>
    <n v="213"/>
    <n v="24"/>
    <s v="July"/>
    <n v="7"/>
    <n v="2023"/>
    <d v="2023-07-24T00:00:00"/>
    <s v="CUST213"/>
    <x v="0"/>
    <n v="27"/>
    <x v="0"/>
    <x v="0"/>
    <x v="0"/>
    <n v="500"/>
    <x v="9"/>
    <n v="22.5"/>
  </r>
  <r>
    <n v="214"/>
    <n v="10"/>
    <s v="December"/>
    <n v="12"/>
    <n v="2023"/>
    <d v="2023-12-10T00:00:00"/>
    <s v="CUST214"/>
    <x v="0"/>
    <n v="20"/>
    <x v="0"/>
    <x v="0"/>
    <x v="1"/>
    <n v="30"/>
    <x v="17"/>
    <n v="0.89999999999999991"/>
  </r>
  <r>
    <n v="215"/>
    <n v="29"/>
    <s v="November"/>
    <n v="11"/>
    <n v="2023"/>
    <d v="2023-11-29T00:00:00"/>
    <s v="CUST215"/>
    <x v="0"/>
    <n v="58"/>
    <x v="0"/>
    <x v="1"/>
    <x v="0"/>
    <n v="500"/>
    <x v="9"/>
    <n v="22.5"/>
  </r>
  <r>
    <n v="216"/>
    <n v="11"/>
    <s v="July"/>
    <n v="7"/>
    <n v="2023"/>
    <d v="2023-07-11T00:00:00"/>
    <s v="CUST216"/>
    <x v="0"/>
    <n v="62"/>
    <x v="0"/>
    <x v="2"/>
    <x v="1"/>
    <n v="50"/>
    <x v="4"/>
    <n v="1.5"/>
  </r>
  <r>
    <n v="217"/>
    <n v="13"/>
    <s v="August"/>
    <n v="8"/>
    <n v="2023"/>
    <d v="2023-08-13T00:00:00"/>
    <s v="CUST217"/>
    <x v="1"/>
    <n v="35"/>
    <x v="0"/>
    <x v="2"/>
    <x v="3"/>
    <n v="50"/>
    <x v="7"/>
    <n v="3"/>
  </r>
  <r>
    <n v="218"/>
    <n v="22"/>
    <s v="September"/>
    <n v="9"/>
    <n v="2023"/>
    <d v="2023-09-22T00:00:00"/>
    <s v="CUST218"/>
    <x v="0"/>
    <n v="64"/>
    <x v="0"/>
    <x v="0"/>
    <x v="0"/>
    <n v="30"/>
    <x v="15"/>
    <n v="1.3499999999999999"/>
  </r>
  <r>
    <n v="219"/>
    <n v="20"/>
    <s v="August"/>
    <n v="8"/>
    <n v="2023"/>
    <d v="2023-08-20T00:00:00"/>
    <s v="CUST219"/>
    <x v="1"/>
    <n v="53"/>
    <x v="0"/>
    <x v="2"/>
    <x v="0"/>
    <n v="30"/>
    <x v="15"/>
    <n v="1.3499999999999999"/>
  </r>
  <r>
    <n v="220"/>
    <n v="3"/>
    <s v="March"/>
    <n v="3"/>
    <n v="2023"/>
    <d v="2023-03-03T00:00:00"/>
    <s v="CUST220"/>
    <x v="0"/>
    <n v="64"/>
    <x v="0"/>
    <x v="0"/>
    <x v="2"/>
    <n v="500"/>
    <x v="3"/>
    <n v="7.5"/>
  </r>
  <r>
    <n v="221"/>
    <n v="7"/>
    <s v="May"/>
    <n v="5"/>
    <n v="2023"/>
    <d v="2023-05-07T00:00:00"/>
    <s v="CUST221"/>
    <x v="0"/>
    <n v="39"/>
    <x v="0"/>
    <x v="0"/>
    <x v="1"/>
    <n v="300"/>
    <x v="6"/>
    <n v="9"/>
  </r>
  <r>
    <n v="222"/>
    <n v="26"/>
    <s v="April"/>
    <n v="4"/>
    <n v="2023"/>
    <d v="2023-04-26T00:00:00"/>
    <s v="CUST222"/>
    <x v="0"/>
    <n v="51"/>
    <x v="0"/>
    <x v="1"/>
    <x v="3"/>
    <n v="30"/>
    <x v="10"/>
    <n v="1.7999999999999998"/>
  </r>
  <r>
    <n v="223"/>
    <n v="2"/>
    <s v="February"/>
    <n v="2"/>
    <n v="2023"/>
    <d v="2023-02-02T00:00:00"/>
    <s v="CUST223"/>
    <x v="1"/>
    <n v="64"/>
    <x v="0"/>
    <x v="1"/>
    <x v="2"/>
    <n v="25"/>
    <x v="16"/>
    <n v="0.375"/>
  </r>
  <r>
    <n v="224"/>
    <n v="23"/>
    <s v="June"/>
    <n v="6"/>
    <n v="2023"/>
    <d v="2023-06-23T00:00:00"/>
    <s v="CUST224"/>
    <x v="1"/>
    <n v="25"/>
    <x v="0"/>
    <x v="1"/>
    <x v="2"/>
    <n v="50"/>
    <x v="5"/>
    <n v="0.75"/>
  </r>
  <r>
    <n v="225"/>
    <n v="11"/>
    <s v="January"/>
    <n v="1"/>
    <n v="2023"/>
    <d v="2023-01-11T00:00:00"/>
    <s v="CUST225"/>
    <x v="1"/>
    <n v="57"/>
    <x v="0"/>
    <x v="0"/>
    <x v="3"/>
    <n v="25"/>
    <x v="4"/>
    <n v="1.5"/>
  </r>
  <r>
    <n v="226"/>
    <n v="29"/>
    <s v="October"/>
    <n v="10"/>
    <n v="2023"/>
    <d v="2023-10-29T00:00:00"/>
    <s v="CUST226"/>
    <x v="1"/>
    <n v="61"/>
    <x v="0"/>
    <x v="1"/>
    <x v="2"/>
    <n v="50"/>
    <x v="5"/>
    <n v="0.75"/>
  </r>
  <r>
    <n v="227"/>
    <n v="11"/>
    <s v="October"/>
    <n v="10"/>
    <n v="2023"/>
    <d v="2023-10-11T00:00:00"/>
    <s v="CUST227"/>
    <x v="0"/>
    <n v="36"/>
    <x v="0"/>
    <x v="2"/>
    <x v="1"/>
    <n v="50"/>
    <x v="4"/>
    <n v="1.5"/>
  </r>
  <r>
    <n v="228"/>
    <n v="28"/>
    <s v="April"/>
    <n v="4"/>
    <n v="2023"/>
    <d v="2023-04-28T00:00:00"/>
    <s v="CUST228"/>
    <x v="1"/>
    <n v="59"/>
    <x v="0"/>
    <x v="2"/>
    <x v="1"/>
    <n v="30"/>
    <x v="17"/>
    <n v="0.89999999999999991"/>
  </r>
  <r>
    <n v="229"/>
    <n v="29"/>
    <s v="October"/>
    <n v="10"/>
    <n v="2023"/>
    <d v="2023-10-29T00:00:00"/>
    <s v="CUST229"/>
    <x v="0"/>
    <n v="58"/>
    <x v="0"/>
    <x v="0"/>
    <x v="0"/>
    <n v="30"/>
    <x v="15"/>
    <n v="1.3499999999999999"/>
  </r>
  <r>
    <n v="230"/>
    <n v="23"/>
    <s v="April"/>
    <n v="4"/>
    <n v="2023"/>
    <d v="2023-04-23T00:00:00"/>
    <s v="CUST230"/>
    <x v="0"/>
    <n v="54"/>
    <x v="0"/>
    <x v="0"/>
    <x v="2"/>
    <n v="25"/>
    <x v="16"/>
    <n v="0.375"/>
  </r>
  <r>
    <n v="231"/>
    <n v="4"/>
    <s v="January"/>
    <n v="1"/>
    <n v="2023"/>
    <d v="2023-01-04T00:00:00"/>
    <s v="CUST231"/>
    <x v="1"/>
    <n v="23"/>
    <x v="0"/>
    <x v="1"/>
    <x v="0"/>
    <n v="50"/>
    <x v="0"/>
    <n v="2.25"/>
  </r>
  <r>
    <n v="232"/>
    <n v="6"/>
    <s v="February"/>
    <n v="2"/>
    <n v="2023"/>
    <d v="2023-02-06T00:00:00"/>
    <s v="CUST232"/>
    <x v="1"/>
    <n v="43"/>
    <x v="0"/>
    <x v="0"/>
    <x v="2"/>
    <n v="25"/>
    <x v="16"/>
    <n v="0.375"/>
  </r>
  <r>
    <n v="233"/>
    <n v="29"/>
    <s v="December"/>
    <n v="12"/>
    <n v="2023"/>
    <d v="2023-12-29T00:00:00"/>
    <s v="CUST233"/>
    <x v="1"/>
    <n v="51"/>
    <x v="0"/>
    <x v="0"/>
    <x v="1"/>
    <n v="300"/>
    <x v="6"/>
    <n v="9"/>
  </r>
  <r>
    <n v="234"/>
    <n v="20"/>
    <s v="November"/>
    <n v="11"/>
    <n v="2023"/>
    <d v="2023-11-20T00:00:00"/>
    <s v="CUST234"/>
    <x v="1"/>
    <n v="62"/>
    <x v="0"/>
    <x v="2"/>
    <x v="1"/>
    <n v="25"/>
    <x v="5"/>
    <n v="0.75"/>
  </r>
  <r>
    <n v="235"/>
    <n v="31"/>
    <s v="January"/>
    <n v="1"/>
    <n v="2023"/>
    <d v="2023-01-31T00:00:00"/>
    <s v="CUST235"/>
    <x v="1"/>
    <n v="23"/>
    <x v="0"/>
    <x v="2"/>
    <x v="1"/>
    <n v="500"/>
    <x v="1"/>
    <n v="15"/>
  </r>
  <r>
    <n v="236"/>
    <n v="28"/>
    <s v="April"/>
    <n v="4"/>
    <n v="2023"/>
    <d v="2023-04-28T00:00:00"/>
    <s v="CUST236"/>
    <x v="1"/>
    <n v="54"/>
    <x v="0"/>
    <x v="1"/>
    <x v="2"/>
    <n v="25"/>
    <x v="16"/>
    <n v="0.375"/>
  </r>
  <r>
    <n v="237"/>
    <n v="4"/>
    <s v="February"/>
    <n v="2"/>
    <n v="2023"/>
    <d v="2023-02-04T00:00:00"/>
    <s v="CUST237"/>
    <x v="1"/>
    <n v="50"/>
    <x v="0"/>
    <x v="0"/>
    <x v="1"/>
    <n v="500"/>
    <x v="1"/>
    <n v="15"/>
  </r>
  <r>
    <n v="238"/>
    <n v="17"/>
    <s v="January"/>
    <n v="1"/>
    <n v="2023"/>
    <d v="2023-01-17T00:00:00"/>
    <s v="CUST238"/>
    <x v="1"/>
    <n v="39"/>
    <x v="0"/>
    <x v="0"/>
    <x v="2"/>
    <n v="500"/>
    <x v="3"/>
    <n v="7.5"/>
  </r>
  <r>
    <n v="239"/>
    <n v="19"/>
    <s v="June"/>
    <n v="6"/>
    <n v="2023"/>
    <d v="2023-06-19T00:00:00"/>
    <s v="CUST239"/>
    <x v="0"/>
    <n v="38"/>
    <x v="0"/>
    <x v="2"/>
    <x v="0"/>
    <n v="500"/>
    <x v="9"/>
    <n v="22.5"/>
  </r>
  <r>
    <n v="240"/>
    <n v="6"/>
    <s v="February"/>
    <n v="2"/>
    <n v="2023"/>
    <d v="2023-02-06T00:00:00"/>
    <s v="CUST240"/>
    <x v="1"/>
    <n v="23"/>
    <x v="0"/>
    <x v="0"/>
    <x v="2"/>
    <n v="300"/>
    <x v="13"/>
    <n v="4.5"/>
  </r>
  <r>
    <n v="241"/>
    <n v="21"/>
    <s v="September"/>
    <n v="9"/>
    <n v="2023"/>
    <d v="2023-09-21T00:00:00"/>
    <s v="CUST241"/>
    <x v="1"/>
    <n v="23"/>
    <x v="0"/>
    <x v="2"/>
    <x v="0"/>
    <n v="25"/>
    <x v="8"/>
    <n v="1.125"/>
  </r>
  <r>
    <n v="242"/>
    <n v="2"/>
    <s v="May"/>
    <n v="5"/>
    <n v="2023"/>
    <d v="2023-05-02T00:00:00"/>
    <s v="CUST242"/>
    <x v="0"/>
    <n v="21"/>
    <x v="0"/>
    <x v="1"/>
    <x v="2"/>
    <n v="25"/>
    <x v="16"/>
    <n v="0.375"/>
  </r>
  <r>
    <n v="243"/>
    <n v="23"/>
    <s v="May"/>
    <n v="5"/>
    <n v="2023"/>
    <d v="2023-05-23T00:00:00"/>
    <s v="CUST243"/>
    <x v="1"/>
    <n v="47"/>
    <x v="0"/>
    <x v="2"/>
    <x v="0"/>
    <n v="300"/>
    <x v="12"/>
    <n v="13.5"/>
  </r>
  <r>
    <n v="244"/>
    <n v="9"/>
    <s v="December"/>
    <n v="12"/>
    <n v="2023"/>
    <d v="2023-12-09T00:00:00"/>
    <s v="CUST244"/>
    <x v="0"/>
    <n v="28"/>
    <x v="0"/>
    <x v="0"/>
    <x v="1"/>
    <n v="50"/>
    <x v="4"/>
    <n v="1.5"/>
  </r>
  <r>
    <n v="245"/>
    <n v="6"/>
    <s v="September"/>
    <n v="9"/>
    <n v="2023"/>
    <d v="2023-09-06T00:00:00"/>
    <s v="CUST245"/>
    <x v="0"/>
    <n v="47"/>
    <x v="0"/>
    <x v="1"/>
    <x v="0"/>
    <n v="30"/>
    <x v="15"/>
    <n v="1.3499999999999999"/>
  </r>
  <r>
    <n v="246"/>
    <n v="20"/>
    <s v="April"/>
    <n v="4"/>
    <n v="2023"/>
    <d v="2023-04-20T00:00:00"/>
    <s v="CUST246"/>
    <x v="1"/>
    <n v="48"/>
    <x v="0"/>
    <x v="2"/>
    <x v="1"/>
    <n v="25"/>
    <x v="5"/>
    <n v="0.75"/>
  </r>
  <r>
    <n v="247"/>
    <n v="4"/>
    <s v="October"/>
    <n v="10"/>
    <n v="2023"/>
    <d v="2023-10-04T00:00:00"/>
    <s v="CUST247"/>
    <x v="0"/>
    <n v="41"/>
    <x v="0"/>
    <x v="2"/>
    <x v="1"/>
    <n v="30"/>
    <x v="17"/>
    <n v="0.89999999999999991"/>
  </r>
  <r>
    <n v="248"/>
    <n v="9"/>
    <s v="March"/>
    <n v="3"/>
    <n v="2023"/>
    <d v="2023-03-09T00:00:00"/>
    <s v="CUST248"/>
    <x v="0"/>
    <n v="26"/>
    <x v="0"/>
    <x v="1"/>
    <x v="0"/>
    <n v="300"/>
    <x v="12"/>
    <n v="13.5"/>
  </r>
  <r>
    <n v="249"/>
    <n v="20"/>
    <s v="October"/>
    <n v="10"/>
    <n v="2023"/>
    <d v="2023-10-20T00:00:00"/>
    <s v="CUST249"/>
    <x v="0"/>
    <n v="20"/>
    <x v="0"/>
    <x v="1"/>
    <x v="2"/>
    <n v="50"/>
    <x v="5"/>
    <n v="0.75"/>
  </r>
  <r>
    <n v="250"/>
    <n v="23"/>
    <s v="October"/>
    <n v="10"/>
    <n v="2023"/>
    <d v="2023-10-23T00:00:00"/>
    <s v="CUST250"/>
    <x v="0"/>
    <n v="48"/>
    <x v="0"/>
    <x v="2"/>
    <x v="2"/>
    <n v="50"/>
    <x v="5"/>
    <n v="0.75"/>
  </r>
  <r>
    <n v="251"/>
    <n v="31"/>
    <s v="August"/>
    <n v="8"/>
    <n v="2023"/>
    <d v="2023-08-31T00:00:00"/>
    <s v="CUST251"/>
    <x v="1"/>
    <n v="57"/>
    <x v="0"/>
    <x v="0"/>
    <x v="3"/>
    <n v="50"/>
    <x v="7"/>
    <n v="3"/>
  </r>
  <r>
    <n v="252"/>
    <n v="5"/>
    <s v="May"/>
    <n v="5"/>
    <n v="2023"/>
    <d v="2023-05-05T00:00:00"/>
    <s v="CUST252"/>
    <x v="0"/>
    <n v="54"/>
    <x v="0"/>
    <x v="2"/>
    <x v="2"/>
    <n v="300"/>
    <x v="13"/>
    <n v="4.5"/>
  </r>
  <r>
    <n v="253"/>
    <n v="31"/>
    <s v="August"/>
    <n v="8"/>
    <n v="2023"/>
    <d v="2023-08-31T00:00:00"/>
    <s v="CUST253"/>
    <x v="1"/>
    <n v="53"/>
    <x v="0"/>
    <x v="1"/>
    <x v="3"/>
    <n v="500"/>
    <x v="11"/>
    <n v="30"/>
  </r>
  <r>
    <n v="254"/>
    <n v="28"/>
    <s v="July"/>
    <n v="7"/>
    <n v="2023"/>
    <d v="2023-07-28T00:00:00"/>
    <s v="CUST254"/>
    <x v="0"/>
    <n v="41"/>
    <x v="0"/>
    <x v="2"/>
    <x v="2"/>
    <n v="500"/>
    <x v="3"/>
    <n v="7.5"/>
  </r>
  <r>
    <n v="255"/>
    <n v="8"/>
    <s v="April"/>
    <n v="4"/>
    <n v="2023"/>
    <d v="2023-04-08T00:00:00"/>
    <s v="CUST255"/>
    <x v="0"/>
    <n v="48"/>
    <x v="0"/>
    <x v="1"/>
    <x v="2"/>
    <n v="30"/>
    <x v="2"/>
    <n v="0.44999999999999996"/>
  </r>
  <r>
    <n v="256"/>
    <n v="18"/>
    <s v="February"/>
    <n v="2"/>
    <n v="2023"/>
    <d v="2023-02-18T00:00:00"/>
    <s v="CUST256"/>
    <x v="0"/>
    <n v="23"/>
    <x v="0"/>
    <x v="1"/>
    <x v="1"/>
    <n v="500"/>
    <x v="1"/>
    <n v="15"/>
  </r>
  <r>
    <n v="257"/>
    <n v="19"/>
    <s v="February"/>
    <n v="2"/>
    <n v="2023"/>
    <d v="2023-02-19T00:00:00"/>
    <s v="CUST257"/>
    <x v="0"/>
    <n v="19"/>
    <x v="0"/>
    <x v="0"/>
    <x v="3"/>
    <n v="500"/>
    <x v="11"/>
    <n v="30"/>
  </r>
  <r>
    <n v="258"/>
    <n v="4"/>
    <s v="December"/>
    <n v="12"/>
    <n v="2023"/>
    <d v="2023-12-04T00:00:00"/>
    <s v="CUST258"/>
    <x v="1"/>
    <n v="37"/>
    <x v="0"/>
    <x v="1"/>
    <x v="2"/>
    <n v="50"/>
    <x v="5"/>
    <n v="0.75"/>
  </r>
  <r>
    <n v="259"/>
    <n v="9"/>
    <s v="August"/>
    <n v="8"/>
    <n v="2023"/>
    <d v="2023-08-09T00:00:00"/>
    <s v="CUST259"/>
    <x v="1"/>
    <n v="45"/>
    <x v="0"/>
    <x v="1"/>
    <x v="3"/>
    <n v="50"/>
    <x v="7"/>
    <n v="3"/>
  </r>
  <r>
    <n v="260"/>
    <n v="1"/>
    <s v="July"/>
    <n v="7"/>
    <n v="2023"/>
    <d v="2023-07-01T00:00:00"/>
    <s v="CUST260"/>
    <x v="0"/>
    <n v="28"/>
    <x v="0"/>
    <x v="0"/>
    <x v="1"/>
    <n v="30"/>
    <x v="17"/>
    <n v="0.89999999999999991"/>
  </r>
  <r>
    <n v="261"/>
    <n v="5"/>
    <s v="August"/>
    <n v="8"/>
    <n v="2023"/>
    <d v="2023-08-05T00:00:00"/>
    <s v="CUST261"/>
    <x v="0"/>
    <n v="21"/>
    <x v="0"/>
    <x v="1"/>
    <x v="1"/>
    <n v="25"/>
    <x v="5"/>
    <n v="0.75"/>
  </r>
  <r>
    <n v="262"/>
    <n v="30"/>
    <s v="July"/>
    <n v="7"/>
    <n v="2023"/>
    <d v="2023-07-30T00:00:00"/>
    <s v="CUST262"/>
    <x v="1"/>
    <n v="32"/>
    <x v="0"/>
    <x v="0"/>
    <x v="3"/>
    <n v="30"/>
    <x v="10"/>
    <n v="1.7999999999999998"/>
  </r>
  <r>
    <n v="263"/>
    <n v="28"/>
    <s v="August"/>
    <n v="8"/>
    <n v="2023"/>
    <d v="2023-08-28T00:00:00"/>
    <s v="CUST263"/>
    <x v="0"/>
    <n v="23"/>
    <x v="0"/>
    <x v="0"/>
    <x v="1"/>
    <n v="30"/>
    <x v="17"/>
    <n v="0.89999999999999991"/>
  </r>
  <r>
    <n v="264"/>
    <n v="28"/>
    <s v="January"/>
    <n v="1"/>
    <n v="2023"/>
    <d v="2023-01-28T00:00:00"/>
    <s v="CUST264"/>
    <x v="0"/>
    <n v="47"/>
    <x v="0"/>
    <x v="1"/>
    <x v="0"/>
    <n v="300"/>
    <x v="12"/>
    <n v="13.5"/>
  </r>
  <r>
    <n v="265"/>
    <n v="11"/>
    <s v="December"/>
    <n v="12"/>
    <n v="2023"/>
    <d v="2023-12-11T00:00:00"/>
    <s v="CUST265"/>
    <x v="0"/>
    <n v="55"/>
    <x v="0"/>
    <x v="1"/>
    <x v="0"/>
    <n v="300"/>
    <x v="12"/>
    <n v="13.5"/>
  </r>
  <r>
    <n v="266"/>
    <n v="1"/>
    <s v="December"/>
    <n v="12"/>
    <n v="2023"/>
    <d v="2023-12-01T00:00:00"/>
    <s v="CUST266"/>
    <x v="1"/>
    <n v="19"/>
    <x v="0"/>
    <x v="2"/>
    <x v="1"/>
    <n v="30"/>
    <x v="17"/>
    <n v="0.89999999999999991"/>
  </r>
  <r>
    <n v="267"/>
    <n v="27"/>
    <s v="November"/>
    <n v="11"/>
    <n v="2023"/>
    <d v="2023-11-27T00:00:00"/>
    <s v="CUST267"/>
    <x v="1"/>
    <n v="32"/>
    <x v="0"/>
    <x v="0"/>
    <x v="0"/>
    <n v="30"/>
    <x v="15"/>
    <n v="1.3499999999999999"/>
  </r>
  <r>
    <n v="268"/>
    <n v="20"/>
    <s v="February"/>
    <n v="2"/>
    <n v="2023"/>
    <d v="2023-02-20T00:00:00"/>
    <s v="CUST268"/>
    <x v="1"/>
    <n v="28"/>
    <x v="0"/>
    <x v="2"/>
    <x v="2"/>
    <n v="30"/>
    <x v="2"/>
    <n v="0.44999999999999996"/>
  </r>
  <r>
    <n v="269"/>
    <n v="1"/>
    <s v="February"/>
    <n v="2"/>
    <n v="2023"/>
    <d v="2023-02-01T00:00:00"/>
    <s v="CUST269"/>
    <x v="0"/>
    <n v="25"/>
    <x v="0"/>
    <x v="1"/>
    <x v="3"/>
    <n v="500"/>
    <x v="11"/>
    <n v="30"/>
  </r>
  <r>
    <n v="270"/>
    <n v="26"/>
    <s v="July"/>
    <n v="7"/>
    <n v="2023"/>
    <d v="2023-07-26T00:00:00"/>
    <s v="CUST270"/>
    <x v="0"/>
    <n v="43"/>
    <x v="0"/>
    <x v="2"/>
    <x v="2"/>
    <n v="300"/>
    <x v="13"/>
    <n v="4.5"/>
  </r>
  <r>
    <n v="271"/>
    <n v="23"/>
    <s v="June"/>
    <n v="6"/>
    <n v="2023"/>
    <d v="2023-06-23T00:00:00"/>
    <s v="CUST271"/>
    <x v="1"/>
    <n v="62"/>
    <x v="0"/>
    <x v="0"/>
    <x v="3"/>
    <n v="30"/>
    <x v="10"/>
    <n v="1.7999999999999998"/>
  </r>
  <r>
    <n v="272"/>
    <n v="25"/>
    <s v="February"/>
    <n v="2"/>
    <n v="2023"/>
    <d v="2023-02-25T00:00:00"/>
    <s v="CUST272"/>
    <x v="1"/>
    <n v="61"/>
    <x v="0"/>
    <x v="2"/>
    <x v="1"/>
    <n v="50"/>
    <x v="4"/>
    <n v="1.5"/>
  </r>
  <r>
    <n v="273"/>
    <n v="8"/>
    <s v="May"/>
    <n v="5"/>
    <n v="2023"/>
    <d v="2023-05-08T00:00:00"/>
    <s v="CUST273"/>
    <x v="1"/>
    <n v="22"/>
    <x v="0"/>
    <x v="0"/>
    <x v="2"/>
    <n v="50"/>
    <x v="5"/>
    <n v="0.75"/>
  </r>
  <r>
    <n v="274"/>
    <n v="9"/>
    <s v="April"/>
    <n v="4"/>
    <n v="2023"/>
    <d v="2023-04-09T00:00:00"/>
    <s v="CUST274"/>
    <x v="1"/>
    <n v="23"/>
    <x v="0"/>
    <x v="1"/>
    <x v="1"/>
    <n v="500"/>
    <x v="1"/>
    <n v="15"/>
  </r>
  <r>
    <n v="275"/>
    <n v="8"/>
    <s v="April"/>
    <n v="4"/>
    <n v="2023"/>
    <d v="2023-04-08T00:00:00"/>
    <s v="CUST275"/>
    <x v="0"/>
    <n v="43"/>
    <x v="0"/>
    <x v="1"/>
    <x v="1"/>
    <n v="500"/>
    <x v="1"/>
    <n v="15"/>
  </r>
  <r>
    <n v="276"/>
    <n v="2"/>
    <s v="October"/>
    <n v="10"/>
    <n v="2023"/>
    <d v="2023-10-02T00:00:00"/>
    <s v="CUST276"/>
    <x v="1"/>
    <n v="21"/>
    <x v="0"/>
    <x v="0"/>
    <x v="3"/>
    <n v="25"/>
    <x v="4"/>
    <n v="1.5"/>
  </r>
  <r>
    <n v="277"/>
    <n v="18"/>
    <s v="August"/>
    <n v="8"/>
    <n v="2023"/>
    <d v="2023-08-18T00:00:00"/>
    <s v="CUST277"/>
    <x v="0"/>
    <n v="36"/>
    <x v="0"/>
    <x v="1"/>
    <x v="3"/>
    <n v="25"/>
    <x v="4"/>
    <n v="1.5"/>
  </r>
  <r>
    <n v="278"/>
    <n v="13"/>
    <s v="March"/>
    <n v="3"/>
    <n v="2023"/>
    <d v="2023-03-13T00:00:00"/>
    <s v="CUST278"/>
    <x v="1"/>
    <n v="37"/>
    <x v="0"/>
    <x v="1"/>
    <x v="3"/>
    <n v="25"/>
    <x v="4"/>
    <n v="1.5"/>
  </r>
  <r>
    <n v="279"/>
    <n v="5"/>
    <s v="August"/>
    <n v="8"/>
    <n v="2023"/>
    <d v="2023-08-05T00:00:00"/>
    <s v="CUST279"/>
    <x v="0"/>
    <n v="50"/>
    <x v="0"/>
    <x v="1"/>
    <x v="2"/>
    <n v="500"/>
    <x v="3"/>
    <n v="7.5"/>
  </r>
  <r>
    <n v="280"/>
    <n v="4"/>
    <s v="April"/>
    <n v="4"/>
    <n v="2023"/>
    <d v="2023-04-04T00:00:00"/>
    <s v="CUST280"/>
    <x v="1"/>
    <n v="37"/>
    <x v="0"/>
    <x v="1"/>
    <x v="0"/>
    <n v="500"/>
    <x v="9"/>
    <n v="22.5"/>
  </r>
  <r>
    <n v="281"/>
    <n v="23"/>
    <s v="May"/>
    <n v="5"/>
    <n v="2023"/>
    <d v="2023-05-23T00:00:00"/>
    <s v="CUST281"/>
    <x v="1"/>
    <n v="29"/>
    <x v="0"/>
    <x v="0"/>
    <x v="3"/>
    <n v="500"/>
    <x v="11"/>
    <n v="30"/>
  </r>
  <r>
    <n v="282"/>
    <n v="25"/>
    <s v="August"/>
    <n v="8"/>
    <n v="2023"/>
    <d v="2023-08-25T00:00:00"/>
    <s v="CUST282"/>
    <x v="1"/>
    <n v="64"/>
    <x v="0"/>
    <x v="2"/>
    <x v="3"/>
    <n v="50"/>
    <x v="7"/>
    <n v="3"/>
  </r>
  <r>
    <n v="283"/>
    <n v="8"/>
    <s v="May"/>
    <n v="5"/>
    <n v="2023"/>
    <d v="2023-05-08T00:00:00"/>
    <s v="CUST283"/>
    <x v="1"/>
    <n v="18"/>
    <x v="0"/>
    <x v="2"/>
    <x v="2"/>
    <n v="500"/>
    <x v="3"/>
    <n v="7.5"/>
  </r>
  <r>
    <n v="284"/>
    <n v="8"/>
    <s v="February"/>
    <n v="2"/>
    <n v="2023"/>
    <d v="2023-02-08T00:00:00"/>
    <s v="CUST284"/>
    <x v="0"/>
    <n v="43"/>
    <x v="0"/>
    <x v="1"/>
    <x v="3"/>
    <n v="50"/>
    <x v="7"/>
    <n v="3"/>
  </r>
  <r>
    <n v="285"/>
    <n v="15"/>
    <s v="August"/>
    <n v="8"/>
    <n v="2023"/>
    <d v="2023-08-15T00:00:00"/>
    <s v="CUST285"/>
    <x v="1"/>
    <n v="31"/>
    <x v="0"/>
    <x v="2"/>
    <x v="2"/>
    <n v="25"/>
    <x v="16"/>
    <n v="0.375"/>
  </r>
  <r>
    <n v="286"/>
    <n v="9"/>
    <s v="October"/>
    <n v="10"/>
    <n v="2023"/>
    <d v="2023-10-09T00:00:00"/>
    <s v="CUST286"/>
    <x v="0"/>
    <n v="55"/>
    <x v="0"/>
    <x v="2"/>
    <x v="1"/>
    <n v="25"/>
    <x v="5"/>
    <n v="0.75"/>
  </r>
  <r>
    <n v="287"/>
    <n v="20"/>
    <s v="February"/>
    <n v="2"/>
    <n v="2023"/>
    <d v="2023-02-20T00:00:00"/>
    <s v="CUST287"/>
    <x v="0"/>
    <n v="54"/>
    <x v="0"/>
    <x v="1"/>
    <x v="3"/>
    <n v="25"/>
    <x v="4"/>
    <n v="1.5"/>
  </r>
  <r>
    <n v="288"/>
    <n v="26"/>
    <s v="January"/>
    <n v="1"/>
    <n v="2023"/>
    <d v="2023-01-26T00:00:00"/>
    <s v="CUST288"/>
    <x v="0"/>
    <n v="28"/>
    <x v="0"/>
    <x v="1"/>
    <x v="3"/>
    <n v="30"/>
    <x v="10"/>
    <n v="1.7999999999999998"/>
  </r>
  <r>
    <n v="289"/>
    <n v="30"/>
    <s v="November"/>
    <n v="11"/>
    <n v="2023"/>
    <d v="2023-11-30T00:00:00"/>
    <s v="CUST289"/>
    <x v="0"/>
    <n v="53"/>
    <x v="0"/>
    <x v="2"/>
    <x v="1"/>
    <n v="30"/>
    <x v="17"/>
    <n v="0.89999999999999991"/>
  </r>
  <r>
    <n v="290"/>
    <n v="4"/>
    <s v="October"/>
    <n v="10"/>
    <n v="2023"/>
    <d v="2023-10-04T00:00:00"/>
    <s v="CUST290"/>
    <x v="1"/>
    <n v="30"/>
    <x v="0"/>
    <x v="0"/>
    <x v="1"/>
    <n v="300"/>
    <x v="6"/>
    <n v="9"/>
  </r>
  <r>
    <n v="291"/>
    <n v="8"/>
    <s v="January"/>
    <n v="1"/>
    <n v="2023"/>
    <d v="2023-01-08T00:00:00"/>
    <s v="CUST291"/>
    <x v="0"/>
    <n v="60"/>
    <x v="0"/>
    <x v="1"/>
    <x v="1"/>
    <n v="300"/>
    <x v="6"/>
    <n v="9"/>
  </r>
  <r>
    <n v="292"/>
    <n v="17"/>
    <s v="February"/>
    <n v="2"/>
    <n v="2023"/>
    <d v="2023-02-17T00:00:00"/>
    <s v="CUST292"/>
    <x v="0"/>
    <n v="20"/>
    <x v="0"/>
    <x v="0"/>
    <x v="3"/>
    <n v="300"/>
    <x v="14"/>
    <n v="18"/>
  </r>
  <r>
    <n v="293"/>
    <n v="2"/>
    <s v="May"/>
    <n v="5"/>
    <n v="2023"/>
    <d v="2023-05-02T00:00:00"/>
    <s v="CUST293"/>
    <x v="0"/>
    <n v="50"/>
    <x v="0"/>
    <x v="2"/>
    <x v="0"/>
    <n v="30"/>
    <x v="15"/>
    <n v="1.3499999999999999"/>
  </r>
  <r>
    <n v="294"/>
    <n v="27"/>
    <s v="March"/>
    <n v="3"/>
    <n v="2023"/>
    <d v="2023-03-27T00:00:00"/>
    <s v="CUST294"/>
    <x v="1"/>
    <n v="23"/>
    <x v="0"/>
    <x v="1"/>
    <x v="0"/>
    <n v="30"/>
    <x v="15"/>
    <n v="1.3499999999999999"/>
  </r>
  <r>
    <n v="295"/>
    <n v="28"/>
    <s v="July"/>
    <n v="7"/>
    <n v="2023"/>
    <d v="2023-07-28T00:00:00"/>
    <s v="CUST295"/>
    <x v="1"/>
    <n v="27"/>
    <x v="0"/>
    <x v="0"/>
    <x v="0"/>
    <n v="300"/>
    <x v="12"/>
    <n v="13.5"/>
  </r>
  <r>
    <n v="296"/>
    <n v="6"/>
    <s v="September"/>
    <n v="9"/>
    <n v="2023"/>
    <d v="2023-09-06T00:00:00"/>
    <s v="CUST296"/>
    <x v="1"/>
    <n v="22"/>
    <x v="0"/>
    <x v="1"/>
    <x v="3"/>
    <n v="300"/>
    <x v="14"/>
    <n v="18"/>
  </r>
  <r>
    <n v="297"/>
    <n v="4"/>
    <s v="September"/>
    <n v="9"/>
    <n v="2023"/>
    <d v="2023-09-04T00:00:00"/>
    <s v="CUST297"/>
    <x v="1"/>
    <n v="40"/>
    <x v="0"/>
    <x v="2"/>
    <x v="1"/>
    <n v="500"/>
    <x v="1"/>
    <n v="15"/>
  </r>
  <r>
    <n v="298"/>
    <n v="20"/>
    <s v="April"/>
    <n v="4"/>
    <n v="2023"/>
    <d v="2023-04-20T00:00:00"/>
    <s v="CUST298"/>
    <x v="0"/>
    <n v="27"/>
    <x v="0"/>
    <x v="0"/>
    <x v="3"/>
    <n v="300"/>
    <x v="14"/>
    <n v="18"/>
  </r>
  <r>
    <n v="299"/>
    <n v="25"/>
    <s v="July"/>
    <n v="7"/>
    <n v="2023"/>
    <d v="2023-07-25T00:00:00"/>
    <s v="CUST299"/>
    <x v="0"/>
    <n v="61"/>
    <x v="0"/>
    <x v="2"/>
    <x v="1"/>
    <n v="500"/>
    <x v="1"/>
    <n v="15"/>
  </r>
  <r>
    <n v="300"/>
    <n v="31"/>
    <s v="January"/>
    <n v="1"/>
    <n v="2023"/>
    <d v="2023-01-31T00:00:00"/>
    <s v="CUST300"/>
    <x v="1"/>
    <n v="19"/>
    <x v="0"/>
    <x v="2"/>
    <x v="3"/>
    <n v="50"/>
    <x v="7"/>
    <n v="3"/>
  </r>
  <r>
    <n v="301"/>
    <n v="26"/>
    <s v="March"/>
    <n v="3"/>
    <n v="2023"/>
    <d v="2023-03-26T00:00:00"/>
    <s v="CUST301"/>
    <x v="0"/>
    <n v="30"/>
    <x v="0"/>
    <x v="1"/>
    <x v="3"/>
    <n v="30"/>
    <x v="10"/>
    <n v="1.7999999999999998"/>
  </r>
  <r>
    <n v="302"/>
    <n v="14"/>
    <s v="July"/>
    <n v="7"/>
    <n v="2023"/>
    <d v="2023-07-14T00:00:00"/>
    <s v="CUST302"/>
    <x v="0"/>
    <n v="57"/>
    <x v="0"/>
    <x v="0"/>
    <x v="1"/>
    <n v="300"/>
    <x v="6"/>
    <n v="9"/>
  </r>
  <r>
    <n v="303"/>
    <n v="2"/>
    <s v="January"/>
    <n v="1"/>
    <n v="2023"/>
    <d v="2023-01-02T00:00:00"/>
    <s v="CUST303"/>
    <x v="0"/>
    <n v="19"/>
    <x v="0"/>
    <x v="2"/>
    <x v="0"/>
    <n v="30"/>
    <x v="15"/>
    <n v="1.3499999999999999"/>
  </r>
  <r>
    <n v="304"/>
    <n v="19"/>
    <s v="July"/>
    <n v="7"/>
    <n v="2023"/>
    <d v="2023-07-19T00:00:00"/>
    <s v="CUST304"/>
    <x v="1"/>
    <n v="37"/>
    <x v="0"/>
    <x v="2"/>
    <x v="1"/>
    <n v="30"/>
    <x v="17"/>
    <n v="0.89999999999999991"/>
  </r>
  <r>
    <n v="305"/>
    <n v="16"/>
    <s v="May"/>
    <n v="5"/>
    <n v="2023"/>
    <d v="2023-05-16T00:00:00"/>
    <s v="CUST305"/>
    <x v="1"/>
    <n v="18"/>
    <x v="0"/>
    <x v="0"/>
    <x v="2"/>
    <n v="30"/>
    <x v="2"/>
    <n v="0.44999999999999996"/>
  </r>
  <r>
    <n v="306"/>
    <n v="21"/>
    <s v="August"/>
    <n v="8"/>
    <n v="2023"/>
    <d v="2023-08-21T00:00:00"/>
    <s v="CUST306"/>
    <x v="0"/>
    <n v="54"/>
    <x v="0"/>
    <x v="2"/>
    <x v="2"/>
    <n v="50"/>
    <x v="5"/>
    <n v="0.75"/>
  </r>
  <r>
    <n v="307"/>
    <n v="27"/>
    <s v="May"/>
    <n v="5"/>
    <n v="2023"/>
    <d v="2023-05-27T00:00:00"/>
    <s v="CUST307"/>
    <x v="1"/>
    <n v="26"/>
    <x v="0"/>
    <x v="2"/>
    <x v="1"/>
    <n v="25"/>
    <x v="5"/>
    <n v="0.75"/>
  </r>
  <r>
    <n v="308"/>
    <n v="5"/>
    <s v="August"/>
    <n v="8"/>
    <n v="2023"/>
    <d v="2023-08-05T00:00:00"/>
    <s v="CUST308"/>
    <x v="1"/>
    <n v="34"/>
    <x v="0"/>
    <x v="0"/>
    <x v="3"/>
    <n v="300"/>
    <x v="14"/>
    <n v="18"/>
  </r>
  <r>
    <n v="309"/>
    <n v="23"/>
    <s v="December"/>
    <n v="12"/>
    <n v="2023"/>
    <d v="2023-12-23T00:00:00"/>
    <s v="CUST309"/>
    <x v="1"/>
    <n v="26"/>
    <x v="0"/>
    <x v="0"/>
    <x v="2"/>
    <n v="25"/>
    <x v="16"/>
    <n v="0.375"/>
  </r>
  <r>
    <n v="310"/>
    <n v="12"/>
    <s v="October"/>
    <n v="10"/>
    <n v="2023"/>
    <d v="2023-10-12T00:00:00"/>
    <s v="CUST310"/>
    <x v="1"/>
    <n v="28"/>
    <x v="0"/>
    <x v="0"/>
    <x v="2"/>
    <n v="25"/>
    <x v="16"/>
    <n v="0.375"/>
  </r>
  <r>
    <n v="311"/>
    <n v="5"/>
    <s v="December"/>
    <n v="12"/>
    <n v="2023"/>
    <d v="2023-12-05T00:00:00"/>
    <s v="CUST311"/>
    <x v="1"/>
    <n v="32"/>
    <x v="0"/>
    <x v="0"/>
    <x v="3"/>
    <n v="25"/>
    <x v="4"/>
    <n v="1.5"/>
  </r>
  <r>
    <n v="312"/>
    <n v="7"/>
    <s v="September"/>
    <n v="9"/>
    <n v="2023"/>
    <d v="2023-09-07T00:00:00"/>
    <s v="CUST312"/>
    <x v="0"/>
    <n v="41"/>
    <x v="0"/>
    <x v="1"/>
    <x v="3"/>
    <n v="30"/>
    <x v="10"/>
    <n v="1.7999999999999998"/>
  </r>
  <r>
    <n v="313"/>
    <n v="21"/>
    <s v="March"/>
    <n v="3"/>
    <n v="2023"/>
    <d v="2023-03-21T00:00:00"/>
    <s v="CUST313"/>
    <x v="1"/>
    <n v="55"/>
    <x v="0"/>
    <x v="0"/>
    <x v="0"/>
    <n v="500"/>
    <x v="9"/>
    <n v="22.5"/>
  </r>
  <r>
    <n v="314"/>
    <n v="8"/>
    <s v="April"/>
    <n v="4"/>
    <n v="2023"/>
    <d v="2023-04-08T00:00:00"/>
    <s v="CUST314"/>
    <x v="0"/>
    <n v="52"/>
    <x v="0"/>
    <x v="1"/>
    <x v="3"/>
    <n v="30"/>
    <x v="10"/>
    <n v="1.7999999999999998"/>
  </r>
  <r>
    <n v="315"/>
    <n v="1"/>
    <s v="June"/>
    <n v="6"/>
    <n v="2023"/>
    <d v="2023-06-01T00:00:00"/>
    <s v="CUST315"/>
    <x v="0"/>
    <n v="47"/>
    <x v="0"/>
    <x v="1"/>
    <x v="1"/>
    <n v="30"/>
    <x v="17"/>
    <n v="0.89999999999999991"/>
  </r>
  <r>
    <n v="316"/>
    <n v="22"/>
    <s v="April"/>
    <n v="4"/>
    <n v="2023"/>
    <d v="2023-04-22T00:00:00"/>
    <s v="CUST316"/>
    <x v="1"/>
    <n v="48"/>
    <x v="0"/>
    <x v="1"/>
    <x v="1"/>
    <n v="25"/>
    <x v="5"/>
    <n v="0.75"/>
  </r>
  <r>
    <n v="317"/>
    <n v="30"/>
    <s v="January"/>
    <n v="1"/>
    <n v="2023"/>
    <d v="2023-01-30T00:00:00"/>
    <s v="CUST317"/>
    <x v="0"/>
    <n v="22"/>
    <x v="0"/>
    <x v="2"/>
    <x v="0"/>
    <n v="30"/>
    <x v="15"/>
    <n v="1.3499999999999999"/>
  </r>
  <r>
    <n v="318"/>
    <n v="24"/>
    <s v="October"/>
    <n v="10"/>
    <n v="2023"/>
    <d v="2023-10-24T00:00:00"/>
    <s v="CUST318"/>
    <x v="0"/>
    <n v="61"/>
    <x v="0"/>
    <x v="1"/>
    <x v="2"/>
    <n v="25"/>
    <x v="16"/>
    <n v="0.375"/>
  </r>
  <r>
    <n v="319"/>
    <n v="5"/>
    <s v="October"/>
    <n v="10"/>
    <n v="2023"/>
    <d v="2023-10-05T00:00:00"/>
    <s v="CUST319"/>
    <x v="0"/>
    <n v="31"/>
    <x v="0"/>
    <x v="1"/>
    <x v="2"/>
    <n v="500"/>
    <x v="3"/>
    <n v="7.5"/>
  </r>
  <r>
    <n v="320"/>
    <n v="1"/>
    <s v="February"/>
    <n v="2"/>
    <n v="2023"/>
    <d v="2023-02-01T00:00:00"/>
    <s v="CUST320"/>
    <x v="1"/>
    <n v="28"/>
    <x v="0"/>
    <x v="2"/>
    <x v="3"/>
    <n v="300"/>
    <x v="14"/>
    <n v="18"/>
  </r>
  <r>
    <n v="321"/>
    <n v="10"/>
    <s v="June"/>
    <n v="6"/>
    <n v="2023"/>
    <d v="2023-06-10T00:00:00"/>
    <s v="CUST321"/>
    <x v="1"/>
    <n v="26"/>
    <x v="0"/>
    <x v="2"/>
    <x v="1"/>
    <n v="25"/>
    <x v="5"/>
    <n v="0.75"/>
  </r>
  <r>
    <n v="322"/>
    <n v="30"/>
    <s v="January"/>
    <n v="1"/>
    <n v="2023"/>
    <d v="2023-01-30T00:00:00"/>
    <s v="CUST322"/>
    <x v="0"/>
    <n v="51"/>
    <x v="0"/>
    <x v="2"/>
    <x v="2"/>
    <n v="500"/>
    <x v="3"/>
    <n v="7.5"/>
  </r>
  <r>
    <n v="323"/>
    <n v="26"/>
    <s v="January"/>
    <n v="1"/>
    <n v="2023"/>
    <d v="2023-01-26T00:00:00"/>
    <s v="CUST323"/>
    <x v="1"/>
    <n v="29"/>
    <x v="0"/>
    <x v="0"/>
    <x v="0"/>
    <n v="300"/>
    <x v="12"/>
    <n v="13.5"/>
  </r>
  <r>
    <n v="324"/>
    <n v="27"/>
    <s v="October"/>
    <n v="10"/>
    <n v="2023"/>
    <d v="2023-10-27T00:00:00"/>
    <s v="CUST324"/>
    <x v="1"/>
    <n v="52"/>
    <x v="0"/>
    <x v="2"/>
    <x v="0"/>
    <n v="50"/>
    <x v="0"/>
    <n v="2.25"/>
  </r>
  <r>
    <n v="325"/>
    <n v="2"/>
    <s v="September"/>
    <n v="9"/>
    <n v="2023"/>
    <d v="2023-09-02T00:00:00"/>
    <s v="CUST325"/>
    <x v="1"/>
    <n v="52"/>
    <x v="0"/>
    <x v="2"/>
    <x v="1"/>
    <n v="25"/>
    <x v="5"/>
    <n v="0.75"/>
  </r>
  <r>
    <n v="326"/>
    <n v="15"/>
    <s v="September"/>
    <n v="9"/>
    <n v="2023"/>
    <d v="2023-09-15T00:00:00"/>
    <s v="CUST326"/>
    <x v="1"/>
    <n v="18"/>
    <x v="0"/>
    <x v="1"/>
    <x v="0"/>
    <n v="25"/>
    <x v="8"/>
    <n v="1.125"/>
  </r>
  <r>
    <n v="327"/>
    <n v="29"/>
    <s v="September"/>
    <n v="9"/>
    <n v="2023"/>
    <d v="2023-09-29T00:00:00"/>
    <s v="CUST327"/>
    <x v="0"/>
    <n v="57"/>
    <x v="0"/>
    <x v="2"/>
    <x v="0"/>
    <n v="50"/>
    <x v="0"/>
    <n v="2.25"/>
  </r>
  <r>
    <n v="328"/>
    <n v="22"/>
    <s v="March"/>
    <n v="3"/>
    <n v="2023"/>
    <d v="2023-03-22T00:00:00"/>
    <s v="CUST328"/>
    <x v="0"/>
    <n v="39"/>
    <x v="0"/>
    <x v="0"/>
    <x v="1"/>
    <n v="50"/>
    <x v="4"/>
    <n v="1.5"/>
  </r>
  <r>
    <n v="329"/>
    <n v="30"/>
    <s v="January"/>
    <n v="1"/>
    <n v="2023"/>
    <d v="2023-01-30T00:00:00"/>
    <s v="CUST329"/>
    <x v="1"/>
    <n v="46"/>
    <x v="0"/>
    <x v="2"/>
    <x v="3"/>
    <n v="25"/>
    <x v="4"/>
    <n v="1.5"/>
  </r>
  <r>
    <n v="330"/>
    <n v="18"/>
    <s v="September"/>
    <n v="9"/>
    <n v="2023"/>
    <d v="2023-09-18T00:00:00"/>
    <s v="CUST330"/>
    <x v="1"/>
    <n v="25"/>
    <x v="0"/>
    <x v="0"/>
    <x v="3"/>
    <n v="50"/>
    <x v="7"/>
    <n v="3"/>
  </r>
  <r>
    <n v="331"/>
    <n v="11"/>
    <s v="February"/>
    <n v="2"/>
    <n v="2023"/>
    <d v="2023-02-11T00:00:00"/>
    <s v="CUST331"/>
    <x v="0"/>
    <n v="28"/>
    <x v="0"/>
    <x v="2"/>
    <x v="0"/>
    <n v="30"/>
    <x v="15"/>
    <n v="1.3499999999999999"/>
  </r>
  <r>
    <n v="332"/>
    <n v="6"/>
    <s v="April"/>
    <n v="4"/>
    <n v="2023"/>
    <d v="2023-04-06T00:00:00"/>
    <s v="CUST332"/>
    <x v="0"/>
    <n v="58"/>
    <x v="0"/>
    <x v="2"/>
    <x v="3"/>
    <n v="300"/>
    <x v="14"/>
    <n v="18"/>
  </r>
  <r>
    <n v="333"/>
    <n v="5"/>
    <s v="February"/>
    <n v="2"/>
    <n v="2023"/>
    <d v="2023-02-05T00:00:00"/>
    <s v="CUST333"/>
    <x v="1"/>
    <n v="54"/>
    <x v="0"/>
    <x v="2"/>
    <x v="3"/>
    <n v="300"/>
    <x v="14"/>
    <n v="18"/>
  </r>
  <r>
    <n v="334"/>
    <n v="1"/>
    <s v="November"/>
    <n v="11"/>
    <n v="2023"/>
    <d v="2023-11-01T00:00:00"/>
    <s v="CUST334"/>
    <x v="0"/>
    <n v="31"/>
    <x v="0"/>
    <x v="2"/>
    <x v="0"/>
    <n v="300"/>
    <x v="12"/>
    <n v="13.5"/>
  </r>
  <r>
    <n v="335"/>
    <n v="4"/>
    <s v="February"/>
    <n v="2"/>
    <n v="2023"/>
    <d v="2023-02-04T00:00:00"/>
    <s v="CUST335"/>
    <x v="1"/>
    <n v="47"/>
    <x v="0"/>
    <x v="0"/>
    <x v="3"/>
    <n v="30"/>
    <x v="10"/>
    <n v="1.7999999999999998"/>
  </r>
  <r>
    <n v="336"/>
    <n v="12"/>
    <s v="December"/>
    <n v="12"/>
    <n v="2023"/>
    <d v="2023-12-12T00:00:00"/>
    <s v="CUST336"/>
    <x v="1"/>
    <n v="52"/>
    <x v="0"/>
    <x v="0"/>
    <x v="0"/>
    <n v="50"/>
    <x v="0"/>
    <n v="2.25"/>
  </r>
  <r>
    <n v="337"/>
    <n v="1"/>
    <s v="May"/>
    <n v="5"/>
    <n v="2023"/>
    <d v="2023-05-01T00:00:00"/>
    <s v="CUST337"/>
    <x v="0"/>
    <n v="38"/>
    <x v="0"/>
    <x v="1"/>
    <x v="2"/>
    <n v="500"/>
    <x v="3"/>
    <n v="7.5"/>
  </r>
  <r>
    <n v="338"/>
    <n v="26"/>
    <s v="July"/>
    <n v="7"/>
    <n v="2023"/>
    <d v="2023-07-26T00:00:00"/>
    <s v="CUST338"/>
    <x v="0"/>
    <n v="54"/>
    <x v="0"/>
    <x v="0"/>
    <x v="1"/>
    <n v="50"/>
    <x v="4"/>
    <n v="1.5"/>
  </r>
  <r>
    <n v="339"/>
    <n v="3"/>
    <s v="March"/>
    <n v="3"/>
    <n v="2023"/>
    <d v="2023-03-03T00:00:00"/>
    <s v="CUST339"/>
    <x v="1"/>
    <n v="22"/>
    <x v="0"/>
    <x v="2"/>
    <x v="1"/>
    <n v="25"/>
    <x v="5"/>
    <n v="0.75"/>
  </r>
  <r>
    <n v="340"/>
    <n v="19"/>
    <s v="October"/>
    <n v="10"/>
    <n v="2023"/>
    <d v="2023-10-19T00:00:00"/>
    <s v="CUST340"/>
    <x v="1"/>
    <n v="36"/>
    <x v="0"/>
    <x v="1"/>
    <x v="3"/>
    <n v="300"/>
    <x v="14"/>
    <n v="18"/>
  </r>
  <r>
    <n v="341"/>
    <n v="7"/>
    <s v="May"/>
    <n v="5"/>
    <n v="2023"/>
    <d v="2023-05-07T00:00:00"/>
    <s v="CUST341"/>
    <x v="0"/>
    <n v="31"/>
    <x v="0"/>
    <x v="1"/>
    <x v="3"/>
    <n v="50"/>
    <x v="7"/>
    <n v="3"/>
  </r>
  <r>
    <n v="342"/>
    <n v="24"/>
    <s v="October"/>
    <n v="10"/>
    <n v="2023"/>
    <d v="2023-10-24T00:00:00"/>
    <s v="CUST342"/>
    <x v="1"/>
    <n v="43"/>
    <x v="0"/>
    <x v="1"/>
    <x v="3"/>
    <n v="500"/>
    <x v="11"/>
    <n v="30"/>
  </r>
  <r>
    <n v="343"/>
    <n v="1"/>
    <s v="November"/>
    <n v="11"/>
    <n v="2023"/>
    <d v="2023-11-01T00:00:00"/>
    <s v="CUST343"/>
    <x v="0"/>
    <n v="21"/>
    <x v="0"/>
    <x v="2"/>
    <x v="1"/>
    <n v="25"/>
    <x v="5"/>
    <n v="0.75"/>
  </r>
  <r>
    <n v="344"/>
    <n v="21"/>
    <s v="January"/>
    <n v="1"/>
    <n v="2023"/>
    <d v="2023-01-21T00:00:00"/>
    <s v="CUST344"/>
    <x v="1"/>
    <n v="42"/>
    <x v="0"/>
    <x v="0"/>
    <x v="2"/>
    <n v="30"/>
    <x v="2"/>
    <n v="0.44999999999999996"/>
  </r>
  <r>
    <n v="345"/>
    <n v="14"/>
    <s v="November"/>
    <n v="11"/>
    <n v="2023"/>
    <d v="2023-11-14T00:00:00"/>
    <s v="CUST345"/>
    <x v="0"/>
    <n v="62"/>
    <x v="0"/>
    <x v="2"/>
    <x v="2"/>
    <n v="30"/>
    <x v="2"/>
    <n v="0.44999999999999996"/>
  </r>
  <r>
    <n v="346"/>
    <n v="11"/>
    <s v="February"/>
    <n v="2"/>
    <n v="2023"/>
    <d v="2023-02-11T00:00:00"/>
    <s v="CUST346"/>
    <x v="0"/>
    <n v="59"/>
    <x v="0"/>
    <x v="1"/>
    <x v="1"/>
    <n v="500"/>
    <x v="1"/>
    <n v="15"/>
  </r>
  <r>
    <n v="347"/>
    <n v="3"/>
    <s v="August"/>
    <n v="8"/>
    <n v="2023"/>
    <d v="2023-08-03T00:00:00"/>
    <s v="CUST347"/>
    <x v="0"/>
    <n v="42"/>
    <x v="0"/>
    <x v="2"/>
    <x v="2"/>
    <n v="25"/>
    <x v="16"/>
    <n v="0.375"/>
  </r>
  <r>
    <n v="348"/>
    <n v="3"/>
    <s v="December"/>
    <n v="12"/>
    <n v="2023"/>
    <d v="2023-12-03T00:00:00"/>
    <s v="CUST348"/>
    <x v="1"/>
    <n v="35"/>
    <x v="0"/>
    <x v="2"/>
    <x v="1"/>
    <n v="300"/>
    <x v="6"/>
    <n v="9"/>
  </r>
  <r>
    <n v="349"/>
    <n v="26"/>
    <s v="October"/>
    <n v="10"/>
    <n v="2023"/>
    <d v="2023-10-26T00:00:00"/>
    <s v="CUST349"/>
    <x v="1"/>
    <n v="57"/>
    <x v="0"/>
    <x v="0"/>
    <x v="2"/>
    <n v="50"/>
    <x v="5"/>
    <n v="0.75"/>
  </r>
  <r>
    <n v="350"/>
    <n v="17"/>
    <s v="October"/>
    <n v="10"/>
    <n v="2023"/>
    <d v="2023-10-17T00:00:00"/>
    <s v="CUST350"/>
    <x v="0"/>
    <n v="25"/>
    <x v="0"/>
    <x v="0"/>
    <x v="0"/>
    <n v="25"/>
    <x v="8"/>
    <n v="1.125"/>
  </r>
  <r>
    <n v="351"/>
    <n v="25"/>
    <s v="September"/>
    <n v="9"/>
    <n v="2023"/>
    <d v="2023-09-25T00:00:00"/>
    <s v="CUST351"/>
    <x v="1"/>
    <n v="56"/>
    <x v="0"/>
    <x v="1"/>
    <x v="0"/>
    <n v="30"/>
    <x v="15"/>
    <n v="1.3499999999999999"/>
  </r>
  <r>
    <n v="352"/>
    <n v="11"/>
    <s v="June"/>
    <n v="6"/>
    <n v="2023"/>
    <d v="2023-06-11T00:00:00"/>
    <s v="CUST352"/>
    <x v="0"/>
    <n v="57"/>
    <x v="0"/>
    <x v="2"/>
    <x v="1"/>
    <n v="500"/>
    <x v="1"/>
    <n v="15"/>
  </r>
  <r>
    <n v="353"/>
    <n v="14"/>
    <s v="May"/>
    <n v="5"/>
    <n v="2023"/>
    <d v="2023-05-14T00:00:00"/>
    <s v="CUST353"/>
    <x v="0"/>
    <n v="31"/>
    <x v="0"/>
    <x v="2"/>
    <x v="2"/>
    <n v="500"/>
    <x v="3"/>
    <n v="7.5"/>
  </r>
  <r>
    <n v="354"/>
    <n v="15"/>
    <s v="April"/>
    <n v="4"/>
    <n v="2023"/>
    <d v="2023-04-15T00:00:00"/>
    <s v="CUST354"/>
    <x v="1"/>
    <n v="49"/>
    <x v="0"/>
    <x v="0"/>
    <x v="3"/>
    <n v="50"/>
    <x v="7"/>
    <n v="3"/>
  </r>
  <r>
    <n v="355"/>
    <n v="9"/>
    <s v="December"/>
    <n v="12"/>
    <n v="2023"/>
    <d v="2023-12-09T00:00:00"/>
    <s v="CUST355"/>
    <x v="1"/>
    <n v="55"/>
    <x v="0"/>
    <x v="2"/>
    <x v="2"/>
    <n v="500"/>
    <x v="3"/>
    <n v="7.5"/>
  </r>
  <r>
    <n v="356"/>
    <n v="10"/>
    <s v="June"/>
    <n v="6"/>
    <n v="2023"/>
    <d v="2023-06-10T00:00:00"/>
    <s v="CUST356"/>
    <x v="0"/>
    <n v="50"/>
    <x v="0"/>
    <x v="2"/>
    <x v="0"/>
    <n v="500"/>
    <x v="9"/>
    <n v="22.5"/>
  </r>
  <r>
    <n v="357"/>
    <n v="3"/>
    <s v="May"/>
    <n v="5"/>
    <n v="2023"/>
    <d v="2023-05-03T00:00:00"/>
    <s v="CUST357"/>
    <x v="1"/>
    <n v="40"/>
    <x v="0"/>
    <x v="2"/>
    <x v="0"/>
    <n v="25"/>
    <x v="8"/>
    <n v="1.125"/>
  </r>
  <r>
    <n v="358"/>
    <n v="16"/>
    <s v="May"/>
    <n v="5"/>
    <n v="2023"/>
    <d v="2023-05-16T00:00:00"/>
    <s v="CUST358"/>
    <x v="1"/>
    <n v="32"/>
    <x v="0"/>
    <x v="0"/>
    <x v="2"/>
    <n v="300"/>
    <x v="13"/>
    <n v="4.5"/>
  </r>
  <r>
    <n v="359"/>
    <n v="22"/>
    <s v="July"/>
    <n v="7"/>
    <n v="2023"/>
    <d v="2023-07-22T00:00:00"/>
    <s v="CUST359"/>
    <x v="0"/>
    <n v="50"/>
    <x v="0"/>
    <x v="1"/>
    <x v="2"/>
    <n v="50"/>
    <x v="5"/>
    <n v="0.75"/>
  </r>
  <r>
    <n v="360"/>
    <n v="9"/>
    <s v="March"/>
    <n v="3"/>
    <n v="2023"/>
    <d v="2023-03-09T00:00:00"/>
    <s v="CUST360"/>
    <x v="0"/>
    <n v="42"/>
    <x v="0"/>
    <x v="1"/>
    <x v="3"/>
    <n v="25"/>
    <x v="4"/>
    <n v="1.5"/>
  </r>
  <r>
    <n v="361"/>
    <n v="10"/>
    <s v="December"/>
    <n v="12"/>
    <n v="2023"/>
    <d v="2023-12-10T00:00:00"/>
    <s v="CUST361"/>
    <x v="1"/>
    <n v="34"/>
    <x v="0"/>
    <x v="2"/>
    <x v="3"/>
    <n v="300"/>
    <x v="14"/>
    <n v="18"/>
  </r>
  <r>
    <n v="362"/>
    <n v="27"/>
    <s v="November"/>
    <n v="11"/>
    <n v="2023"/>
    <d v="2023-11-27T00:00:00"/>
    <s v="CUST362"/>
    <x v="0"/>
    <n v="50"/>
    <x v="0"/>
    <x v="1"/>
    <x v="2"/>
    <n v="25"/>
    <x v="16"/>
    <n v="0.375"/>
  </r>
  <r>
    <n v="363"/>
    <n v="3"/>
    <s v="June"/>
    <n v="6"/>
    <n v="2023"/>
    <d v="2023-06-03T00:00:00"/>
    <s v="CUST363"/>
    <x v="0"/>
    <n v="64"/>
    <x v="0"/>
    <x v="0"/>
    <x v="2"/>
    <n v="25"/>
    <x v="16"/>
    <n v="0.375"/>
  </r>
  <r>
    <n v="364"/>
    <n v="23"/>
    <s v="August"/>
    <n v="8"/>
    <n v="2023"/>
    <d v="2023-08-23T00:00:00"/>
    <s v="CUST364"/>
    <x v="1"/>
    <n v="19"/>
    <x v="0"/>
    <x v="0"/>
    <x v="2"/>
    <n v="500"/>
    <x v="3"/>
    <n v="7.5"/>
  </r>
  <r>
    <n v="365"/>
    <n v="11"/>
    <s v="June"/>
    <n v="6"/>
    <n v="2023"/>
    <d v="2023-06-11T00:00:00"/>
    <s v="CUST365"/>
    <x v="0"/>
    <n v="31"/>
    <x v="0"/>
    <x v="1"/>
    <x v="2"/>
    <n v="300"/>
    <x v="13"/>
    <n v="4.5"/>
  </r>
  <r>
    <n v="366"/>
    <n v="7"/>
    <s v="February"/>
    <n v="2"/>
    <n v="2023"/>
    <d v="2023-02-07T00:00:00"/>
    <s v="CUST366"/>
    <x v="0"/>
    <n v="57"/>
    <x v="0"/>
    <x v="1"/>
    <x v="1"/>
    <n v="50"/>
    <x v="4"/>
    <n v="1.5"/>
  </r>
  <r>
    <n v="367"/>
    <n v="5"/>
    <s v="January"/>
    <n v="1"/>
    <n v="2023"/>
    <d v="2023-01-05T00:00:00"/>
    <s v="CUST367"/>
    <x v="1"/>
    <n v="57"/>
    <x v="0"/>
    <x v="2"/>
    <x v="2"/>
    <n v="50"/>
    <x v="5"/>
    <n v="0.75"/>
  </r>
  <r>
    <n v="368"/>
    <n v="23"/>
    <s v="August"/>
    <n v="8"/>
    <n v="2023"/>
    <d v="2023-08-23T00:00:00"/>
    <s v="CUST368"/>
    <x v="1"/>
    <n v="56"/>
    <x v="0"/>
    <x v="1"/>
    <x v="3"/>
    <n v="300"/>
    <x v="14"/>
    <n v="18"/>
  </r>
  <r>
    <n v="369"/>
    <n v="15"/>
    <s v="November"/>
    <n v="11"/>
    <n v="2023"/>
    <d v="2023-11-15T00:00:00"/>
    <s v="CUST369"/>
    <x v="0"/>
    <n v="23"/>
    <x v="0"/>
    <x v="2"/>
    <x v="0"/>
    <n v="500"/>
    <x v="9"/>
    <n v="22.5"/>
  </r>
  <r>
    <n v="370"/>
    <n v="16"/>
    <s v="October"/>
    <n v="10"/>
    <n v="2023"/>
    <d v="2023-10-16T00:00:00"/>
    <s v="CUST370"/>
    <x v="0"/>
    <n v="23"/>
    <x v="0"/>
    <x v="2"/>
    <x v="1"/>
    <n v="30"/>
    <x v="17"/>
    <n v="0.89999999999999991"/>
  </r>
  <r>
    <n v="371"/>
    <n v="21"/>
    <s v="February"/>
    <n v="2"/>
    <n v="2023"/>
    <d v="2023-02-21T00:00:00"/>
    <s v="CUST371"/>
    <x v="1"/>
    <n v="20"/>
    <x v="0"/>
    <x v="0"/>
    <x v="2"/>
    <n v="25"/>
    <x v="16"/>
    <n v="0.375"/>
  </r>
  <r>
    <n v="372"/>
    <n v="7"/>
    <s v="February"/>
    <n v="2"/>
    <n v="2023"/>
    <d v="2023-02-07T00:00:00"/>
    <s v="CUST372"/>
    <x v="1"/>
    <n v="24"/>
    <x v="0"/>
    <x v="0"/>
    <x v="0"/>
    <n v="500"/>
    <x v="9"/>
    <n v="22.5"/>
  </r>
  <r>
    <n v="373"/>
    <n v="3"/>
    <s v="October"/>
    <n v="10"/>
    <n v="2023"/>
    <d v="2023-10-03T00:00:00"/>
    <s v="CUST373"/>
    <x v="1"/>
    <n v="25"/>
    <x v="0"/>
    <x v="0"/>
    <x v="1"/>
    <n v="300"/>
    <x v="6"/>
    <n v="9"/>
  </r>
  <r>
    <n v="374"/>
    <n v="20"/>
    <s v="April"/>
    <n v="4"/>
    <n v="2023"/>
    <d v="2023-04-20T00:00:00"/>
    <s v="CUST374"/>
    <x v="1"/>
    <n v="59"/>
    <x v="0"/>
    <x v="0"/>
    <x v="0"/>
    <n v="25"/>
    <x v="8"/>
    <n v="1.125"/>
  </r>
  <r>
    <n v="375"/>
    <n v="17"/>
    <s v="September"/>
    <n v="9"/>
    <n v="2023"/>
    <d v="2023-09-17T00:00:00"/>
    <s v="CUST375"/>
    <x v="0"/>
    <n v="32"/>
    <x v="0"/>
    <x v="1"/>
    <x v="2"/>
    <n v="50"/>
    <x v="5"/>
    <n v="0.75"/>
  </r>
  <r>
    <n v="376"/>
    <n v="16"/>
    <s v="May"/>
    <n v="5"/>
    <n v="2023"/>
    <d v="2023-05-16T00:00:00"/>
    <s v="CUST376"/>
    <x v="1"/>
    <n v="64"/>
    <x v="0"/>
    <x v="0"/>
    <x v="2"/>
    <n v="30"/>
    <x v="2"/>
    <n v="0.44999999999999996"/>
  </r>
  <r>
    <n v="377"/>
    <n v="9"/>
    <s v="March"/>
    <n v="3"/>
    <n v="2023"/>
    <d v="2023-03-09T00:00:00"/>
    <s v="CUST377"/>
    <x v="1"/>
    <n v="46"/>
    <x v="0"/>
    <x v="1"/>
    <x v="3"/>
    <n v="50"/>
    <x v="7"/>
    <n v="3"/>
  </r>
  <r>
    <n v="378"/>
    <n v="28"/>
    <s v="June"/>
    <n v="6"/>
    <n v="2023"/>
    <d v="2023-06-28T00:00:00"/>
    <s v="CUST378"/>
    <x v="0"/>
    <n v="50"/>
    <x v="0"/>
    <x v="0"/>
    <x v="2"/>
    <n v="300"/>
    <x v="13"/>
    <n v="4.5"/>
  </r>
  <r>
    <n v="379"/>
    <n v="5"/>
    <s v="February"/>
    <n v="2"/>
    <n v="2023"/>
    <d v="2023-02-05T00:00:00"/>
    <s v="CUST379"/>
    <x v="1"/>
    <n v="47"/>
    <x v="0"/>
    <x v="1"/>
    <x v="2"/>
    <n v="25"/>
    <x v="16"/>
    <n v="0.375"/>
  </r>
  <r>
    <n v="380"/>
    <n v="6"/>
    <s v="May"/>
    <n v="5"/>
    <n v="2023"/>
    <d v="2023-05-06T00:00:00"/>
    <s v="CUST380"/>
    <x v="0"/>
    <n v="56"/>
    <x v="0"/>
    <x v="2"/>
    <x v="1"/>
    <n v="300"/>
    <x v="6"/>
    <n v="9"/>
  </r>
  <r>
    <n v="381"/>
    <n v="9"/>
    <s v="July"/>
    <n v="7"/>
    <n v="2023"/>
    <d v="2023-07-09T00:00:00"/>
    <s v="CUST381"/>
    <x v="1"/>
    <n v="44"/>
    <x v="0"/>
    <x v="1"/>
    <x v="3"/>
    <n v="25"/>
    <x v="4"/>
    <n v="1.5"/>
  </r>
  <r>
    <n v="382"/>
    <n v="26"/>
    <s v="May"/>
    <n v="5"/>
    <n v="2023"/>
    <d v="2023-05-26T00:00:00"/>
    <s v="CUST382"/>
    <x v="1"/>
    <n v="53"/>
    <x v="0"/>
    <x v="1"/>
    <x v="1"/>
    <n v="500"/>
    <x v="1"/>
    <n v="15"/>
  </r>
  <r>
    <n v="383"/>
    <n v="22"/>
    <s v="March"/>
    <n v="3"/>
    <n v="2023"/>
    <d v="2023-03-22T00:00:00"/>
    <s v="CUST383"/>
    <x v="1"/>
    <n v="46"/>
    <x v="0"/>
    <x v="0"/>
    <x v="0"/>
    <n v="30"/>
    <x v="15"/>
    <n v="1.3499999999999999"/>
  </r>
  <r>
    <n v="384"/>
    <n v="13"/>
    <s v="August"/>
    <n v="8"/>
    <n v="2023"/>
    <d v="2023-08-13T00:00:00"/>
    <s v="CUST384"/>
    <x v="0"/>
    <n v="55"/>
    <x v="0"/>
    <x v="1"/>
    <x v="2"/>
    <n v="500"/>
    <x v="3"/>
    <n v="7.5"/>
  </r>
  <r>
    <n v="385"/>
    <n v="6"/>
    <s v="October"/>
    <n v="10"/>
    <n v="2023"/>
    <d v="2023-10-06T00:00:00"/>
    <s v="CUST385"/>
    <x v="0"/>
    <n v="50"/>
    <x v="0"/>
    <x v="2"/>
    <x v="0"/>
    <n v="500"/>
    <x v="9"/>
    <n v="22.5"/>
  </r>
  <r>
    <n v="386"/>
    <n v="27"/>
    <s v="December"/>
    <n v="12"/>
    <n v="2023"/>
    <d v="2023-12-27T00:00:00"/>
    <s v="CUST386"/>
    <x v="1"/>
    <n v="54"/>
    <x v="0"/>
    <x v="2"/>
    <x v="1"/>
    <n v="300"/>
    <x v="6"/>
    <n v="9"/>
  </r>
  <r>
    <n v="387"/>
    <n v="4"/>
    <s v="June"/>
    <n v="6"/>
    <n v="2023"/>
    <d v="2023-06-04T00:00:00"/>
    <s v="CUST387"/>
    <x v="0"/>
    <n v="44"/>
    <x v="0"/>
    <x v="0"/>
    <x v="2"/>
    <n v="30"/>
    <x v="2"/>
    <n v="0.44999999999999996"/>
  </r>
  <r>
    <n v="388"/>
    <n v="10"/>
    <s v="November"/>
    <n v="11"/>
    <n v="2023"/>
    <d v="2023-11-10T00:00:00"/>
    <s v="CUST388"/>
    <x v="0"/>
    <n v="50"/>
    <x v="0"/>
    <x v="2"/>
    <x v="2"/>
    <n v="25"/>
    <x v="16"/>
    <n v="0.375"/>
  </r>
  <r>
    <n v="389"/>
    <n v="1"/>
    <s v="December"/>
    <n v="12"/>
    <n v="2023"/>
    <d v="2023-12-01T00:00:00"/>
    <s v="CUST389"/>
    <x v="0"/>
    <n v="21"/>
    <x v="0"/>
    <x v="1"/>
    <x v="1"/>
    <n v="25"/>
    <x v="5"/>
    <n v="0.75"/>
  </r>
  <r>
    <n v="390"/>
    <n v="28"/>
    <s v="September"/>
    <n v="9"/>
    <n v="2023"/>
    <d v="2023-09-28T00:00:00"/>
    <s v="CUST390"/>
    <x v="0"/>
    <n v="39"/>
    <x v="0"/>
    <x v="2"/>
    <x v="1"/>
    <n v="50"/>
    <x v="4"/>
    <n v="1.5"/>
  </r>
  <r>
    <n v="391"/>
    <n v="5"/>
    <s v="January"/>
    <n v="1"/>
    <n v="2023"/>
    <d v="2023-01-05T00:00:00"/>
    <s v="CUST391"/>
    <x v="0"/>
    <n v="19"/>
    <x v="0"/>
    <x v="0"/>
    <x v="1"/>
    <n v="25"/>
    <x v="5"/>
    <n v="0.75"/>
  </r>
  <r>
    <n v="392"/>
    <n v="8"/>
    <s v="December"/>
    <n v="12"/>
    <n v="2023"/>
    <d v="2023-12-08T00:00:00"/>
    <s v="CUST392"/>
    <x v="0"/>
    <n v="27"/>
    <x v="0"/>
    <x v="1"/>
    <x v="1"/>
    <n v="300"/>
    <x v="6"/>
    <n v="9"/>
  </r>
  <r>
    <n v="393"/>
    <n v="11"/>
    <s v="October"/>
    <n v="10"/>
    <n v="2023"/>
    <d v="2023-10-11T00:00:00"/>
    <s v="CUST393"/>
    <x v="1"/>
    <n v="22"/>
    <x v="0"/>
    <x v="0"/>
    <x v="1"/>
    <n v="500"/>
    <x v="1"/>
    <n v="15"/>
  </r>
  <r>
    <n v="394"/>
    <n v="3"/>
    <s v="June"/>
    <n v="6"/>
    <n v="2023"/>
    <d v="2023-06-03T00:00:00"/>
    <s v="CUST394"/>
    <x v="1"/>
    <n v="27"/>
    <x v="0"/>
    <x v="1"/>
    <x v="2"/>
    <n v="500"/>
    <x v="3"/>
    <n v="7.5"/>
  </r>
  <r>
    <n v="395"/>
    <n v="6"/>
    <s v="December"/>
    <n v="12"/>
    <n v="2023"/>
    <d v="2023-12-06T00:00:00"/>
    <s v="CUST395"/>
    <x v="0"/>
    <n v="50"/>
    <x v="0"/>
    <x v="2"/>
    <x v="1"/>
    <n v="500"/>
    <x v="1"/>
    <n v="15"/>
  </r>
  <r>
    <n v="396"/>
    <n v="23"/>
    <s v="February"/>
    <n v="2"/>
    <n v="2023"/>
    <d v="2023-02-23T00:00:00"/>
    <s v="CUST396"/>
    <x v="1"/>
    <n v="55"/>
    <x v="0"/>
    <x v="0"/>
    <x v="2"/>
    <n v="30"/>
    <x v="2"/>
    <n v="0.44999999999999996"/>
  </r>
  <r>
    <n v="397"/>
    <n v="10"/>
    <s v="March"/>
    <n v="3"/>
    <n v="2023"/>
    <d v="2023-03-10T00:00:00"/>
    <s v="CUST397"/>
    <x v="1"/>
    <n v="30"/>
    <x v="0"/>
    <x v="0"/>
    <x v="2"/>
    <n v="25"/>
    <x v="16"/>
    <n v="0.375"/>
  </r>
  <r>
    <n v="398"/>
    <n v="16"/>
    <s v="May"/>
    <n v="5"/>
    <n v="2023"/>
    <d v="2023-05-16T00:00:00"/>
    <s v="CUST398"/>
    <x v="1"/>
    <n v="48"/>
    <x v="0"/>
    <x v="1"/>
    <x v="1"/>
    <n v="300"/>
    <x v="6"/>
    <n v="9"/>
  </r>
  <r>
    <n v="399"/>
    <n v="1"/>
    <s v="March"/>
    <n v="3"/>
    <n v="2023"/>
    <d v="2023-03-01T00:00:00"/>
    <s v="CUST399"/>
    <x v="1"/>
    <n v="64"/>
    <x v="0"/>
    <x v="0"/>
    <x v="1"/>
    <n v="30"/>
    <x v="17"/>
    <n v="0.89999999999999991"/>
  </r>
  <r>
    <n v="400"/>
    <n v="24"/>
    <s v="February"/>
    <n v="2"/>
    <n v="2023"/>
    <d v="2023-02-24T00:00:00"/>
    <s v="CUST400"/>
    <x v="0"/>
    <n v="53"/>
    <x v="0"/>
    <x v="1"/>
    <x v="3"/>
    <n v="50"/>
    <x v="7"/>
    <n v="3"/>
  </r>
  <r>
    <n v="401"/>
    <n v="11"/>
    <s v="October"/>
    <n v="10"/>
    <n v="2023"/>
    <d v="2023-10-11T00:00:00"/>
    <s v="CUST401"/>
    <x v="1"/>
    <n v="62"/>
    <x v="0"/>
    <x v="1"/>
    <x v="2"/>
    <n v="300"/>
    <x v="13"/>
    <n v="4.5"/>
  </r>
  <r>
    <n v="402"/>
    <n v="21"/>
    <s v="March"/>
    <n v="3"/>
    <n v="2023"/>
    <d v="2023-03-21T00:00:00"/>
    <s v="CUST402"/>
    <x v="1"/>
    <n v="41"/>
    <x v="0"/>
    <x v="1"/>
    <x v="1"/>
    <n v="300"/>
    <x v="6"/>
    <n v="9"/>
  </r>
  <r>
    <n v="403"/>
    <n v="20"/>
    <s v="May"/>
    <n v="5"/>
    <n v="2023"/>
    <d v="2023-05-20T00:00:00"/>
    <s v="CUST403"/>
    <x v="0"/>
    <n v="32"/>
    <x v="0"/>
    <x v="1"/>
    <x v="1"/>
    <n v="300"/>
    <x v="6"/>
    <n v="9"/>
  </r>
  <r>
    <n v="404"/>
    <n v="25"/>
    <s v="May"/>
    <n v="5"/>
    <n v="2023"/>
    <d v="2023-05-25T00:00:00"/>
    <s v="CUST404"/>
    <x v="0"/>
    <n v="46"/>
    <x v="0"/>
    <x v="2"/>
    <x v="1"/>
    <n v="500"/>
    <x v="1"/>
    <n v="15"/>
  </r>
  <r>
    <n v="405"/>
    <n v="6"/>
    <s v="November"/>
    <n v="11"/>
    <n v="2023"/>
    <d v="2023-11-06T00:00:00"/>
    <s v="CUST405"/>
    <x v="1"/>
    <n v="25"/>
    <x v="0"/>
    <x v="1"/>
    <x v="3"/>
    <n v="300"/>
    <x v="14"/>
    <n v="18"/>
  </r>
  <r>
    <n v="406"/>
    <n v="18"/>
    <s v="April"/>
    <n v="4"/>
    <n v="2023"/>
    <d v="2023-04-18T00:00:00"/>
    <s v="CUST406"/>
    <x v="1"/>
    <n v="22"/>
    <x v="0"/>
    <x v="0"/>
    <x v="3"/>
    <n v="25"/>
    <x v="4"/>
    <n v="1.5"/>
  </r>
  <r>
    <n v="407"/>
    <n v="25"/>
    <s v="June"/>
    <n v="6"/>
    <n v="2023"/>
    <d v="2023-06-25T00:00:00"/>
    <s v="CUST407"/>
    <x v="1"/>
    <n v="46"/>
    <x v="0"/>
    <x v="2"/>
    <x v="0"/>
    <n v="300"/>
    <x v="12"/>
    <n v="13.5"/>
  </r>
  <r>
    <n v="408"/>
    <n v="15"/>
    <s v="April"/>
    <n v="4"/>
    <n v="2023"/>
    <d v="2023-04-15T00:00:00"/>
    <s v="CUST408"/>
    <x v="1"/>
    <n v="64"/>
    <x v="0"/>
    <x v="0"/>
    <x v="2"/>
    <n v="500"/>
    <x v="3"/>
    <n v="7.5"/>
  </r>
  <r>
    <n v="409"/>
    <n v="18"/>
    <s v="December"/>
    <n v="12"/>
    <n v="2023"/>
    <d v="2023-12-18T00:00:00"/>
    <s v="CUST409"/>
    <x v="1"/>
    <n v="21"/>
    <x v="0"/>
    <x v="2"/>
    <x v="0"/>
    <n v="300"/>
    <x v="12"/>
    <n v="13.5"/>
  </r>
  <r>
    <n v="410"/>
    <n v="21"/>
    <s v="November"/>
    <n v="11"/>
    <n v="2023"/>
    <d v="2023-11-21T00:00:00"/>
    <s v="CUST410"/>
    <x v="1"/>
    <n v="29"/>
    <x v="0"/>
    <x v="1"/>
    <x v="1"/>
    <n v="50"/>
    <x v="4"/>
    <n v="1.5"/>
  </r>
  <r>
    <n v="411"/>
    <n v="16"/>
    <s v="May"/>
    <n v="5"/>
    <n v="2023"/>
    <d v="2023-05-16T00:00:00"/>
    <s v="CUST411"/>
    <x v="0"/>
    <n v="62"/>
    <x v="0"/>
    <x v="2"/>
    <x v="3"/>
    <n v="50"/>
    <x v="7"/>
    <n v="3"/>
  </r>
  <r>
    <n v="412"/>
    <n v="16"/>
    <s v="September"/>
    <n v="9"/>
    <n v="2023"/>
    <d v="2023-09-16T00:00:00"/>
    <s v="CUST412"/>
    <x v="1"/>
    <n v="19"/>
    <x v="0"/>
    <x v="2"/>
    <x v="3"/>
    <n v="500"/>
    <x v="11"/>
    <n v="30"/>
  </r>
  <r>
    <n v="413"/>
    <n v="8"/>
    <s v="September"/>
    <n v="9"/>
    <n v="2023"/>
    <d v="2023-09-08T00:00:00"/>
    <s v="CUST413"/>
    <x v="1"/>
    <n v="44"/>
    <x v="0"/>
    <x v="0"/>
    <x v="0"/>
    <n v="25"/>
    <x v="8"/>
    <n v="1.125"/>
  </r>
  <r>
    <n v="414"/>
    <n v="9"/>
    <s v="May"/>
    <n v="5"/>
    <n v="2023"/>
    <d v="2023-05-09T00:00:00"/>
    <s v="CUST414"/>
    <x v="0"/>
    <n v="48"/>
    <x v="0"/>
    <x v="0"/>
    <x v="3"/>
    <n v="25"/>
    <x v="4"/>
    <n v="1.5"/>
  </r>
  <r>
    <n v="415"/>
    <n v="27"/>
    <s v="January"/>
    <n v="1"/>
    <n v="2023"/>
    <d v="2023-01-27T00:00:00"/>
    <s v="CUST415"/>
    <x v="0"/>
    <n v="53"/>
    <x v="0"/>
    <x v="1"/>
    <x v="1"/>
    <n v="30"/>
    <x v="17"/>
    <n v="0.89999999999999991"/>
  </r>
  <r>
    <n v="416"/>
    <n v="17"/>
    <s v="February"/>
    <n v="2"/>
    <n v="2023"/>
    <d v="2023-02-17T00:00:00"/>
    <s v="CUST416"/>
    <x v="0"/>
    <n v="53"/>
    <x v="0"/>
    <x v="2"/>
    <x v="3"/>
    <n v="500"/>
    <x v="11"/>
    <n v="30"/>
  </r>
  <r>
    <n v="417"/>
    <n v="21"/>
    <s v="November"/>
    <n v="11"/>
    <n v="2023"/>
    <d v="2023-11-21T00:00:00"/>
    <s v="CUST417"/>
    <x v="0"/>
    <n v="43"/>
    <x v="0"/>
    <x v="2"/>
    <x v="0"/>
    <n v="300"/>
    <x v="12"/>
    <n v="13.5"/>
  </r>
  <r>
    <n v="418"/>
    <n v="5"/>
    <s v="August"/>
    <n v="8"/>
    <n v="2023"/>
    <d v="2023-08-05T00:00:00"/>
    <s v="CUST418"/>
    <x v="1"/>
    <n v="60"/>
    <x v="0"/>
    <x v="2"/>
    <x v="1"/>
    <n v="500"/>
    <x v="1"/>
    <n v="15"/>
  </r>
  <r>
    <n v="419"/>
    <n v="22"/>
    <s v="May"/>
    <n v="5"/>
    <n v="2023"/>
    <d v="2023-05-22T00:00:00"/>
    <s v="CUST419"/>
    <x v="1"/>
    <n v="44"/>
    <x v="0"/>
    <x v="1"/>
    <x v="0"/>
    <n v="30"/>
    <x v="15"/>
    <n v="1.3499999999999999"/>
  </r>
  <r>
    <n v="420"/>
    <n v="23"/>
    <s v="January"/>
    <n v="1"/>
    <n v="2023"/>
    <d v="2023-01-23T00:00:00"/>
    <s v="CUST420"/>
    <x v="1"/>
    <n v="22"/>
    <x v="0"/>
    <x v="1"/>
    <x v="3"/>
    <n v="500"/>
    <x v="11"/>
    <n v="30"/>
  </r>
  <r>
    <n v="421"/>
    <n v="2"/>
    <s v="January"/>
    <n v="1"/>
    <n v="2023"/>
    <d v="2023-01-02T00:00:00"/>
    <s v="CUST421"/>
    <x v="1"/>
    <n v="37"/>
    <x v="0"/>
    <x v="1"/>
    <x v="0"/>
    <n v="500"/>
    <x v="9"/>
    <n v="22.5"/>
  </r>
  <r>
    <n v="422"/>
    <n v="20"/>
    <s v="June"/>
    <n v="6"/>
    <n v="2023"/>
    <d v="2023-06-20T00:00:00"/>
    <s v="CUST422"/>
    <x v="1"/>
    <n v="28"/>
    <x v="0"/>
    <x v="1"/>
    <x v="0"/>
    <n v="30"/>
    <x v="15"/>
    <n v="1.3499999999999999"/>
  </r>
  <r>
    <n v="423"/>
    <n v="8"/>
    <s v="March"/>
    <n v="3"/>
    <n v="2023"/>
    <d v="2023-03-08T00:00:00"/>
    <s v="CUST423"/>
    <x v="1"/>
    <n v="27"/>
    <x v="0"/>
    <x v="1"/>
    <x v="2"/>
    <n v="25"/>
    <x v="16"/>
    <n v="0.375"/>
  </r>
  <r>
    <n v="424"/>
    <n v="23"/>
    <s v="November"/>
    <n v="11"/>
    <n v="2023"/>
    <d v="2023-11-23T00:00:00"/>
    <s v="CUST424"/>
    <x v="0"/>
    <n v="57"/>
    <x v="0"/>
    <x v="0"/>
    <x v="3"/>
    <n v="300"/>
    <x v="14"/>
    <n v="18"/>
  </r>
  <r>
    <n v="425"/>
    <n v="15"/>
    <s v="May"/>
    <n v="5"/>
    <n v="2023"/>
    <d v="2023-05-15T00:00:00"/>
    <s v="CUST425"/>
    <x v="1"/>
    <n v="55"/>
    <x v="0"/>
    <x v="2"/>
    <x v="3"/>
    <n v="30"/>
    <x v="10"/>
    <n v="1.7999999999999998"/>
  </r>
  <r>
    <n v="426"/>
    <n v="24"/>
    <s v="March"/>
    <n v="3"/>
    <n v="2023"/>
    <d v="2023-03-24T00:00:00"/>
    <s v="CUST426"/>
    <x v="0"/>
    <n v="23"/>
    <x v="0"/>
    <x v="2"/>
    <x v="0"/>
    <n v="50"/>
    <x v="0"/>
    <n v="2.25"/>
  </r>
  <r>
    <n v="427"/>
    <n v="15"/>
    <s v="August"/>
    <n v="8"/>
    <n v="2023"/>
    <d v="2023-08-15T00:00:00"/>
    <s v="CUST427"/>
    <x v="0"/>
    <n v="25"/>
    <x v="0"/>
    <x v="2"/>
    <x v="2"/>
    <n v="25"/>
    <x v="16"/>
    <n v="0.375"/>
  </r>
  <r>
    <n v="428"/>
    <n v="10"/>
    <s v="October"/>
    <n v="10"/>
    <n v="2023"/>
    <d v="2023-10-10T00:00:00"/>
    <s v="CUST428"/>
    <x v="1"/>
    <n v="40"/>
    <x v="0"/>
    <x v="2"/>
    <x v="3"/>
    <n v="50"/>
    <x v="7"/>
    <n v="3"/>
  </r>
  <r>
    <n v="429"/>
    <n v="28"/>
    <s v="December"/>
    <n v="12"/>
    <n v="2023"/>
    <d v="2023-12-28T00:00:00"/>
    <s v="CUST429"/>
    <x v="0"/>
    <n v="64"/>
    <x v="0"/>
    <x v="2"/>
    <x v="1"/>
    <n v="25"/>
    <x v="5"/>
    <n v="0.75"/>
  </r>
  <r>
    <n v="430"/>
    <n v="7"/>
    <s v="August"/>
    <n v="8"/>
    <n v="2023"/>
    <d v="2023-08-07T00:00:00"/>
    <s v="CUST430"/>
    <x v="1"/>
    <n v="43"/>
    <x v="0"/>
    <x v="2"/>
    <x v="0"/>
    <n v="300"/>
    <x v="12"/>
    <n v="13.5"/>
  </r>
  <r>
    <n v="431"/>
    <n v="15"/>
    <s v="October"/>
    <n v="10"/>
    <n v="2023"/>
    <d v="2023-10-15T00:00:00"/>
    <s v="CUST431"/>
    <x v="0"/>
    <n v="63"/>
    <x v="0"/>
    <x v="2"/>
    <x v="3"/>
    <n v="300"/>
    <x v="14"/>
    <n v="18"/>
  </r>
  <r>
    <n v="432"/>
    <n v="5"/>
    <s v="January"/>
    <n v="1"/>
    <n v="2023"/>
    <d v="2023-01-05T00:00:00"/>
    <s v="CUST432"/>
    <x v="1"/>
    <n v="60"/>
    <x v="0"/>
    <x v="2"/>
    <x v="1"/>
    <n v="500"/>
    <x v="1"/>
    <n v="15"/>
  </r>
  <r>
    <n v="433"/>
    <n v="27"/>
    <s v="February"/>
    <n v="2"/>
    <n v="2023"/>
    <d v="2023-02-27T00:00:00"/>
    <s v="CUST433"/>
    <x v="0"/>
    <n v="29"/>
    <x v="0"/>
    <x v="0"/>
    <x v="3"/>
    <n v="50"/>
    <x v="7"/>
    <n v="3"/>
  </r>
  <r>
    <n v="434"/>
    <n v="8"/>
    <s v="February"/>
    <n v="2"/>
    <n v="2023"/>
    <d v="2023-02-08T00:00:00"/>
    <s v="CUST434"/>
    <x v="1"/>
    <n v="43"/>
    <x v="0"/>
    <x v="2"/>
    <x v="1"/>
    <n v="25"/>
    <x v="5"/>
    <n v="0.75"/>
  </r>
  <r>
    <n v="435"/>
    <n v="20"/>
    <s v="December"/>
    <n v="12"/>
    <n v="2023"/>
    <d v="2023-12-20T00:00:00"/>
    <s v="CUST435"/>
    <x v="1"/>
    <n v="30"/>
    <x v="0"/>
    <x v="0"/>
    <x v="0"/>
    <n v="300"/>
    <x v="12"/>
    <n v="13.5"/>
  </r>
  <r>
    <n v="436"/>
    <n v="18"/>
    <s v="March"/>
    <n v="3"/>
    <n v="2023"/>
    <d v="2023-03-18T00:00:00"/>
    <s v="CUST436"/>
    <x v="1"/>
    <n v="57"/>
    <x v="0"/>
    <x v="1"/>
    <x v="3"/>
    <n v="30"/>
    <x v="10"/>
    <n v="1.7999999999999998"/>
  </r>
  <r>
    <n v="437"/>
    <n v="7"/>
    <s v="October"/>
    <n v="10"/>
    <n v="2023"/>
    <d v="2023-10-07T00:00:00"/>
    <s v="CUST437"/>
    <x v="1"/>
    <n v="35"/>
    <x v="0"/>
    <x v="2"/>
    <x v="3"/>
    <n v="300"/>
    <x v="14"/>
    <n v="18"/>
  </r>
  <r>
    <n v="438"/>
    <n v="19"/>
    <s v="January"/>
    <n v="1"/>
    <n v="2023"/>
    <d v="2023-01-19T00:00:00"/>
    <s v="CUST438"/>
    <x v="1"/>
    <n v="42"/>
    <x v="0"/>
    <x v="1"/>
    <x v="2"/>
    <n v="30"/>
    <x v="2"/>
    <n v="0.44999999999999996"/>
  </r>
  <r>
    <n v="439"/>
    <n v="9"/>
    <s v="July"/>
    <n v="7"/>
    <n v="2023"/>
    <d v="2023-07-09T00:00:00"/>
    <s v="CUST439"/>
    <x v="0"/>
    <n v="50"/>
    <x v="0"/>
    <x v="1"/>
    <x v="0"/>
    <n v="25"/>
    <x v="8"/>
    <n v="1.125"/>
  </r>
  <r>
    <n v="440"/>
    <n v="26"/>
    <s v="October"/>
    <n v="10"/>
    <n v="2023"/>
    <d v="2023-10-26T00:00:00"/>
    <s v="CUST440"/>
    <x v="0"/>
    <n v="64"/>
    <x v="0"/>
    <x v="1"/>
    <x v="1"/>
    <n v="300"/>
    <x v="6"/>
    <n v="9"/>
  </r>
  <r>
    <n v="441"/>
    <n v="10"/>
    <s v="October"/>
    <n v="10"/>
    <n v="2023"/>
    <d v="2023-10-10T00:00:00"/>
    <s v="CUST441"/>
    <x v="0"/>
    <n v="57"/>
    <x v="0"/>
    <x v="0"/>
    <x v="3"/>
    <n v="300"/>
    <x v="14"/>
    <n v="18"/>
  </r>
  <r>
    <n v="442"/>
    <n v="17"/>
    <s v="March"/>
    <n v="3"/>
    <n v="2023"/>
    <d v="2023-03-17T00:00:00"/>
    <s v="CUST442"/>
    <x v="1"/>
    <n v="60"/>
    <x v="0"/>
    <x v="1"/>
    <x v="3"/>
    <n v="25"/>
    <x v="4"/>
    <n v="1.5"/>
  </r>
  <r>
    <n v="443"/>
    <n v="9"/>
    <s v="August"/>
    <n v="8"/>
    <n v="2023"/>
    <d v="2023-08-09T00:00:00"/>
    <s v="CUST443"/>
    <x v="0"/>
    <n v="29"/>
    <x v="0"/>
    <x v="1"/>
    <x v="1"/>
    <n v="300"/>
    <x v="6"/>
    <n v="9"/>
  </r>
  <r>
    <n v="444"/>
    <n v="7"/>
    <s v="March"/>
    <n v="3"/>
    <n v="2023"/>
    <d v="2023-03-07T00:00:00"/>
    <s v="CUST444"/>
    <x v="1"/>
    <n v="61"/>
    <x v="0"/>
    <x v="1"/>
    <x v="0"/>
    <n v="30"/>
    <x v="15"/>
    <n v="1.3499999999999999"/>
  </r>
  <r>
    <n v="445"/>
    <n v="22"/>
    <s v="January"/>
    <n v="1"/>
    <n v="2023"/>
    <d v="2023-01-22T00:00:00"/>
    <s v="CUST445"/>
    <x v="1"/>
    <n v="53"/>
    <x v="0"/>
    <x v="2"/>
    <x v="2"/>
    <n v="300"/>
    <x v="13"/>
    <n v="4.5"/>
  </r>
  <r>
    <n v="446"/>
    <n v="7"/>
    <s v="June"/>
    <n v="6"/>
    <n v="2023"/>
    <d v="2023-06-07T00:00:00"/>
    <s v="CUST446"/>
    <x v="0"/>
    <n v="21"/>
    <x v="0"/>
    <x v="2"/>
    <x v="2"/>
    <n v="50"/>
    <x v="5"/>
    <n v="0.75"/>
  </r>
  <r>
    <n v="447"/>
    <n v="6"/>
    <s v="July"/>
    <n v="7"/>
    <n v="2023"/>
    <d v="2023-07-06T00:00:00"/>
    <s v="CUST447"/>
    <x v="0"/>
    <n v="22"/>
    <x v="0"/>
    <x v="0"/>
    <x v="3"/>
    <n v="500"/>
    <x v="11"/>
    <n v="30"/>
  </r>
  <r>
    <n v="448"/>
    <n v="21"/>
    <s v="January"/>
    <n v="1"/>
    <n v="2023"/>
    <d v="2023-01-21T00:00:00"/>
    <s v="CUST448"/>
    <x v="1"/>
    <n v="54"/>
    <x v="0"/>
    <x v="0"/>
    <x v="1"/>
    <n v="30"/>
    <x v="17"/>
    <n v="0.89999999999999991"/>
  </r>
  <r>
    <n v="449"/>
    <n v="3"/>
    <s v="July"/>
    <n v="7"/>
    <n v="2023"/>
    <d v="2023-07-03T00:00:00"/>
    <s v="CUST449"/>
    <x v="0"/>
    <n v="25"/>
    <x v="0"/>
    <x v="2"/>
    <x v="3"/>
    <n v="50"/>
    <x v="7"/>
    <n v="3"/>
  </r>
  <r>
    <n v="450"/>
    <n v="18"/>
    <s v="April"/>
    <n v="4"/>
    <n v="2023"/>
    <d v="2023-04-18T00:00:00"/>
    <s v="CUST450"/>
    <x v="1"/>
    <n v="59"/>
    <x v="0"/>
    <x v="0"/>
    <x v="1"/>
    <n v="25"/>
    <x v="5"/>
    <n v="0.75"/>
  </r>
  <r>
    <n v="451"/>
    <n v="16"/>
    <s v="December"/>
    <n v="12"/>
    <n v="2023"/>
    <d v="2023-12-16T00:00:00"/>
    <s v="CUST451"/>
    <x v="1"/>
    <n v="45"/>
    <x v="0"/>
    <x v="2"/>
    <x v="2"/>
    <n v="30"/>
    <x v="2"/>
    <n v="0.44999999999999996"/>
  </r>
  <r>
    <n v="452"/>
    <n v="8"/>
    <s v="May"/>
    <n v="5"/>
    <n v="2023"/>
    <d v="2023-05-08T00:00:00"/>
    <s v="CUST452"/>
    <x v="1"/>
    <n v="48"/>
    <x v="0"/>
    <x v="1"/>
    <x v="0"/>
    <n v="500"/>
    <x v="9"/>
    <n v="22.5"/>
  </r>
  <r>
    <n v="453"/>
    <n v="8"/>
    <s v="December"/>
    <n v="12"/>
    <n v="2023"/>
    <d v="2023-12-08T00:00:00"/>
    <s v="CUST453"/>
    <x v="1"/>
    <n v="26"/>
    <x v="0"/>
    <x v="1"/>
    <x v="1"/>
    <n v="500"/>
    <x v="1"/>
    <n v="15"/>
  </r>
  <r>
    <n v="454"/>
    <n v="22"/>
    <s v="February"/>
    <n v="2"/>
    <n v="2023"/>
    <d v="2023-02-22T00:00:00"/>
    <s v="CUST454"/>
    <x v="1"/>
    <n v="46"/>
    <x v="0"/>
    <x v="0"/>
    <x v="2"/>
    <n v="25"/>
    <x v="16"/>
    <n v="0.375"/>
  </r>
  <r>
    <n v="455"/>
    <n v="1"/>
    <s v="July"/>
    <n v="7"/>
    <n v="2023"/>
    <d v="2023-07-01T00:00:00"/>
    <s v="CUST455"/>
    <x v="0"/>
    <n v="31"/>
    <x v="0"/>
    <x v="2"/>
    <x v="3"/>
    <n v="25"/>
    <x v="4"/>
    <n v="1.5"/>
  </r>
  <r>
    <n v="456"/>
    <n v="14"/>
    <s v="October"/>
    <n v="10"/>
    <n v="2023"/>
    <d v="2023-10-14T00:00:00"/>
    <s v="CUST456"/>
    <x v="0"/>
    <n v="57"/>
    <x v="0"/>
    <x v="2"/>
    <x v="1"/>
    <n v="30"/>
    <x v="17"/>
    <n v="0.89999999999999991"/>
  </r>
  <r>
    <n v="457"/>
    <n v="28"/>
    <s v="July"/>
    <n v="7"/>
    <n v="2023"/>
    <d v="2023-07-28T00:00:00"/>
    <s v="CUST457"/>
    <x v="1"/>
    <n v="58"/>
    <x v="0"/>
    <x v="0"/>
    <x v="0"/>
    <n v="300"/>
    <x v="12"/>
    <n v="13.5"/>
  </r>
  <r>
    <n v="458"/>
    <n v="14"/>
    <s v="November"/>
    <n v="11"/>
    <n v="2023"/>
    <d v="2023-11-14T00:00:00"/>
    <s v="CUST458"/>
    <x v="1"/>
    <n v="39"/>
    <x v="0"/>
    <x v="2"/>
    <x v="3"/>
    <n v="25"/>
    <x v="4"/>
    <n v="1.5"/>
  </r>
  <r>
    <n v="459"/>
    <n v="21"/>
    <s v="March"/>
    <n v="3"/>
    <n v="2023"/>
    <d v="2023-03-21T00:00:00"/>
    <s v="CUST459"/>
    <x v="0"/>
    <n v="28"/>
    <x v="0"/>
    <x v="1"/>
    <x v="3"/>
    <n v="300"/>
    <x v="14"/>
    <n v="18"/>
  </r>
  <r>
    <n v="460"/>
    <n v="2"/>
    <s v="May"/>
    <n v="5"/>
    <n v="2023"/>
    <d v="2023-05-02T00:00:00"/>
    <s v="CUST460"/>
    <x v="0"/>
    <n v="40"/>
    <x v="0"/>
    <x v="0"/>
    <x v="2"/>
    <n v="50"/>
    <x v="5"/>
    <n v="0.75"/>
  </r>
  <r>
    <n v="461"/>
    <n v="25"/>
    <s v="March"/>
    <n v="3"/>
    <n v="2023"/>
    <d v="2023-03-25T00:00:00"/>
    <s v="CUST461"/>
    <x v="1"/>
    <n v="18"/>
    <x v="0"/>
    <x v="0"/>
    <x v="1"/>
    <n v="500"/>
    <x v="1"/>
    <n v="15"/>
  </r>
  <r>
    <n v="462"/>
    <n v="1"/>
    <s v="April"/>
    <n v="4"/>
    <n v="2023"/>
    <d v="2023-04-01T00:00:00"/>
    <s v="CUST462"/>
    <x v="0"/>
    <n v="63"/>
    <x v="0"/>
    <x v="2"/>
    <x v="3"/>
    <n v="300"/>
    <x v="14"/>
    <n v="18"/>
  </r>
  <r>
    <n v="463"/>
    <n v="31"/>
    <s v="July"/>
    <n v="7"/>
    <n v="2023"/>
    <d v="2023-07-31T00:00:00"/>
    <s v="CUST463"/>
    <x v="1"/>
    <n v="54"/>
    <x v="0"/>
    <x v="0"/>
    <x v="0"/>
    <n v="500"/>
    <x v="9"/>
    <n v="22.5"/>
  </r>
  <r>
    <n v="464"/>
    <n v="13"/>
    <s v="January"/>
    <n v="1"/>
    <n v="2023"/>
    <d v="2023-01-13T00:00:00"/>
    <s v="CUST464"/>
    <x v="0"/>
    <n v="38"/>
    <x v="0"/>
    <x v="2"/>
    <x v="1"/>
    <n v="300"/>
    <x v="6"/>
    <n v="9"/>
  </r>
  <r>
    <n v="465"/>
    <n v="2"/>
    <s v="April"/>
    <n v="4"/>
    <n v="2023"/>
    <d v="2023-04-02T00:00:00"/>
    <s v="CUST465"/>
    <x v="1"/>
    <n v="43"/>
    <x v="0"/>
    <x v="2"/>
    <x v="0"/>
    <n v="50"/>
    <x v="0"/>
    <n v="2.25"/>
  </r>
  <r>
    <n v="466"/>
    <n v="20"/>
    <s v="June"/>
    <n v="6"/>
    <n v="2023"/>
    <d v="2023-06-20T00:00:00"/>
    <s v="CUST466"/>
    <x v="0"/>
    <n v="63"/>
    <x v="0"/>
    <x v="2"/>
    <x v="3"/>
    <n v="25"/>
    <x v="4"/>
    <n v="1.5"/>
  </r>
  <r>
    <n v="467"/>
    <n v="30"/>
    <s v="July"/>
    <n v="7"/>
    <n v="2023"/>
    <d v="2023-07-30T00:00:00"/>
    <s v="CUST467"/>
    <x v="1"/>
    <n v="53"/>
    <x v="0"/>
    <x v="2"/>
    <x v="0"/>
    <n v="50"/>
    <x v="0"/>
    <n v="2.25"/>
  </r>
  <r>
    <n v="468"/>
    <n v="9"/>
    <s v="December"/>
    <n v="12"/>
    <n v="2023"/>
    <d v="2023-12-09T00:00:00"/>
    <s v="CUST468"/>
    <x v="0"/>
    <n v="40"/>
    <x v="0"/>
    <x v="2"/>
    <x v="2"/>
    <n v="25"/>
    <x v="16"/>
    <n v="0.375"/>
  </r>
  <r>
    <n v="469"/>
    <n v="8"/>
    <s v="May"/>
    <n v="5"/>
    <n v="2023"/>
    <d v="2023-05-08T00:00:00"/>
    <s v="CUST469"/>
    <x v="0"/>
    <n v="18"/>
    <x v="0"/>
    <x v="0"/>
    <x v="0"/>
    <n v="25"/>
    <x v="8"/>
    <n v="1.125"/>
  </r>
  <r>
    <n v="470"/>
    <n v="17"/>
    <s v="May"/>
    <n v="5"/>
    <n v="2023"/>
    <d v="2023-05-17T00:00:00"/>
    <s v="CUST470"/>
    <x v="1"/>
    <n v="57"/>
    <x v="0"/>
    <x v="1"/>
    <x v="1"/>
    <n v="500"/>
    <x v="1"/>
    <n v="15"/>
  </r>
  <r>
    <n v="471"/>
    <n v="23"/>
    <s v="March"/>
    <n v="3"/>
    <n v="2023"/>
    <d v="2023-03-23T00:00:00"/>
    <s v="CUST471"/>
    <x v="0"/>
    <n v="32"/>
    <x v="0"/>
    <x v="1"/>
    <x v="0"/>
    <n v="50"/>
    <x v="0"/>
    <n v="2.25"/>
  </r>
  <r>
    <n v="472"/>
    <n v="26"/>
    <s v="December"/>
    <n v="12"/>
    <n v="2023"/>
    <d v="2023-12-26T00:00:00"/>
    <s v="CUST472"/>
    <x v="1"/>
    <n v="38"/>
    <x v="0"/>
    <x v="0"/>
    <x v="0"/>
    <n v="300"/>
    <x v="12"/>
    <n v="13.5"/>
  </r>
  <r>
    <n v="473"/>
    <n v="25"/>
    <s v="February"/>
    <n v="2"/>
    <n v="2023"/>
    <d v="2023-02-25T00:00:00"/>
    <s v="CUST473"/>
    <x v="0"/>
    <n v="64"/>
    <x v="0"/>
    <x v="0"/>
    <x v="2"/>
    <n v="50"/>
    <x v="5"/>
    <n v="0.75"/>
  </r>
  <r>
    <n v="474"/>
    <n v="15"/>
    <s v="July"/>
    <n v="7"/>
    <n v="2023"/>
    <d v="2023-07-15T00:00:00"/>
    <s v="CUST474"/>
    <x v="1"/>
    <n v="26"/>
    <x v="0"/>
    <x v="1"/>
    <x v="0"/>
    <n v="500"/>
    <x v="9"/>
    <n v="22.5"/>
  </r>
  <r>
    <n v="475"/>
    <n v="20"/>
    <s v="January"/>
    <n v="1"/>
    <n v="2023"/>
    <d v="2023-01-20T00:00:00"/>
    <s v="CUST475"/>
    <x v="0"/>
    <n v="26"/>
    <x v="0"/>
    <x v="1"/>
    <x v="0"/>
    <n v="25"/>
    <x v="8"/>
    <n v="1.125"/>
  </r>
  <r>
    <n v="476"/>
    <n v="29"/>
    <s v="August"/>
    <n v="8"/>
    <n v="2023"/>
    <d v="2023-08-29T00:00:00"/>
    <s v="CUST476"/>
    <x v="1"/>
    <n v="27"/>
    <x v="0"/>
    <x v="1"/>
    <x v="3"/>
    <n v="500"/>
    <x v="11"/>
    <n v="30"/>
  </r>
  <r>
    <n v="477"/>
    <n v="24"/>
    <s v="April"/>
    <n v="4"/>
    <n v="2023"/>
    <d v="2023-04-24T00:00:00"/>
    <s v="CUST477"/>
    <x v="0"/>
    <n v="43"/>
    <x v="0"/>
    <x v="1"/>
    <x v="3"/>
    <n v="30"/>
    <x v="10"/>
    <n v="1.7999999999999998"/>
  </r>
  <r>
    <n v="478"/>
    <n v="13"/>
    <s v="April"/>
    <n v="4"/>
    <n v="2023"/>
    <d v="2023-04-13T00:00:00"/>
    <s v="CUST478"/>
    <x v="1"/>
    <n v="58"/>
    <x v="0"/>
    <x v="1"/>
    <x v="1"/>
    <n v="30"/>
    <x v="17"/>
    <n v="0.89999999999999991"/>
  </r>
  <r>
    <n v="479"/>
    <n v="24"/>
    <s v="August"/>
    <n v="8"/>
    <n v="2023"/>
    <d v="2023-08-24T00:00:00"/>
    <s v="CUST479"/>
    <x v="0"/>
    <n v="52"/>
    <x v="0"/>
    <x v="2"/>
    <x v="3"/>
    <n v="300"/>
    <x v="14"/>
    <n v="18"/>
  </r>
  <r>
    <n v="480"/>
    <n v="29"/>
    <s v="June"/>
    <n v="6"/>
    <n v="2023"/>
    <d v="2023-06-29T00:00:00"/>
    <s v="CUST480"/>
    <x v="1"/>
    <n v="42"/>
    <x v="0"/>
    <x v="0"/>
    <x v="3"/>
    <n v="500"/>
    <x v="11"/>
    <n v="30"/>
  </r>
  <r>
    <n v="481"/>
    <n v="6"/>
    <s v="June"/>
    <n v="6"/>
    <n v="2023"/>
    <d v="2023-06-06T00:00:00"/>
    <s v="CUST481"/>
    <x v="1"/>
    <n v="43"/>
    <x v="0"/>
    <x v="2"/>
    <x v="3"/>
    <n v="300"/>
    <x v="14"/>
    <n v="18"/>
  </r>
  <r>
    <n v="482"/>
    <n v="27"/>
    <s v="April"/>
    <n v="4"/>
    <n v="2023"/>
    <d v="2023-04-27T00:00:00"/>
    <s v="CUST482"/>
    <x v="1"/>
    <n v="28"/>
    <x v="0"/>
    <x v="1"/>
    <x v="3"/>
    <n v="300"/>
    <x v="14"/>
    <n v="18"/>
  </r>
  <r>
    <n v="483"/>
    <n v="25"/>
    <s v="April"/>
    <n v="4"/>
    <n v="2023"/>
    <d v="2023-04-25T00:00:00"/>
    <s v="CUST483"/>
    <x v="0"/>
    <n v="55"/>
    <x v="0"/>
    <x v="1"/>
    <x v="2"/>
    <n v="30"/>
    <x v="2"/>
    <n v="0.44999999999999996"/>
  </r>
  <r>
    <n v="484"/>
    <n v="13"/>
    <s v="January"/>
    <n v="1"/>
    <n v="2023"/>
    <d v="2023-01-13T00:00:00"/>
    <s v="CUST484"/>
    <x v="1"/>
    <n v="19"/>
    <x v="0"/>
    <x v="1"/>
    <x v="3"/>
    <n v="300"/>
    <x v="14"/>
    <n v="18"/>
  </r>
  <r>
    <n v="485"/>
    <n v="4"/>
    <s v="December"/>
    <n v="12"/>
    <n v="2023"/>
    <d v="2023-12-04T00:00:00"/>
    <s v="CUST485"/>
    <x v="0"/>
    <n v="24"/>
    <x v="0"/>
    <x v="2"/>
    <x v="2"/>
    <n v="30"/>
    <x v="2"/>
    <n v="0.44999999999999996"/>
  </r>
  <r>
    <n v="486"/>
    <n v="9"/>
    <s v="April"/>
    <n v="4"/>
    <n v="2023"/>
    <d v="2023-04-09T00:00:00"/>
    <s v="CUST486"/>
    <x v="1"/>
    <n v="35"/>
    <x v="0"/>
    <x v="2"/>
    <x v="2"/>
    <n v="25"/>
    <x v="16"/>
    <n v="0.375"/>
  </r>
  <r>
    <n v="487"/>
    <n v="24"/>
    <s v="July"/>
    <n v="7"/>
    <n v="2023"/>
    <d v="2023-07-24T00:00:00"/>
    <s v="CUST487"/>
    <x v="0"/>
    <n v="44"/>
    <x v="0"/>
    <x v="1"/>
    <x v="3"/>
    <n v="500"/>
    <x v="11"/>
    <n v="30"/>
  </r>
  <r>
    <n v="488"/>
    <n v="18"/>
    <s v="June"/>
    <n v="6"/>
    <n v="2023"/>
    <d v="2023-06-18T00:00:00"/>
    <s v="CUST488"/>
    <x v="1"/>
    <n v="51"/>
    <x v="0"/>
    <x v="2"/>
    <x v="0"/>
    <n v="300"/>
    <x v="12"/>
    <n v="13.5"/>
  </r>
  <r>
    <n v="489"/>
    <n v="23"/>
    <s v="May"/>
    <n v="5"/>
    <n v="2023"/>
    <d v="2023-05-23T00:00:00"/>
    <s v="CUST489"/>
    <x v="0"/>
    <n v="44"/>
    <x v="0"/>
    <x v="2"/>
    <x v="2"/>
    <n v="30"/>
    <x v="2"/>
    <n v="0.44999999999999996"/>
  </r>
  <r>
    <n v="490"/>
    <n v="5"/>
    <s v="February"/>
    <n v="2"/>
    <n v="2023"/>
    <d v="2023-02-05T00:00:00"/>
    <s v="CUST490"/>
    <x v="0"/>
    <n v="34"/>
    <x v="0"/>
    <x v="1"/>
    <x v="0"/>
    <n v="50"/>
    <x v="0"/>
    <n v="2.25"/>
  </r>
  <r>
    <n v="491"/>
    <n v="23"/>
    <s v="May"/>
    <n v="5"/>
    <n v="2023"/>
    <d v="2023-05-23T00:00:00"/>
    <s v="CUST491"/>
    <x v="1"/>
    <n v="60"/>
    <x v="0"/>
    <x v="2"/>
    <x v="0"/>
    <n v="300"/>
    <x v="12"/>
    <n v="13.5"/>
  </r>
  <r>
    <n v="492"/>
    <n v="29"/>
    <s v="June"/>
    <n v="6"/>
    <n v="2023"/>
    <d v="2023-06-29T00:00:00"/>
    <s v="CUST492"/>
    <x v="0"/>
    <n v="61"/>
    <x v="0"/>
    <x v="0"/>
    <x v="3"/>
    <n v="25"/>
    <x v="4"/>
    <n v="1.5"/>
  </r>
  <r>
    <n v="493"/>
    <n v="25"/>
    <s v="November"/>
    <n v="11"/>
    <n v="2023"/>
    <d v="2023-11-25T00:00:00"/>
    <s v="CUST493"/>
    <x v="0"/>
    <n v="41"/>
    <x v="0"/>
    <x v="0"/>
    <x v="1"/>
    <n v="25"/>
    <x v="5"/>
    <n v="0.75"/>
  </r>
  <r>
    <n v="494"/>
    <n v="18"/>
    <s v="September"/>
    <n v="9"/>
    <n v="2023"/>
    <d v="2023-09-18T00:00:00"/>
    <s v="CUST494"/>
    <x v="1"/>
    <n v="42"/>
    <x v="0"/>
    <x v="0"/>
    <x v="3"/>
    <n v="50"/>
    <x v="7"/>
    <n v="3"/>
  </r>
  <r>
    <n v="495"/>
    <n v="24"/>
    <s v="July"/>
    <n v="7"/>
    <n v="2023"/>
    <d v="2023-07-24T00:00:00"/>
    <s v="CUST495"/>
    <x v="0"/>
    <n v="24"/>
    <x v="0"/>
    <x v="0"/>
    <x v="1"/>
    <n v="30"/>
    <x v="17"/>
    <n v="0.89999999999999991"/>
  </r>
  <r>
    <n v="496"/>
    <n v="14"/>
    <s v="December"/>
    <n v="12"/>
    <n v="2023"/>
    <d v="2023-12-14T00:00:00"/>
    <s v="CUST496"/>
    <x v="0"/>
    <n v="23"/>
    <x v="0"/>
    <x v="1"/>
    <x v="1"/>
    <n v="300"/>
    <x v="6"/>
    <n v="9"/>
  </r>
  <r>
    <n v="497"/>
    <n v="2"/>
    <s v="October"/>
    <n v="10"/>
    <n v="2023"/>
    <d v="2023-10-02T00:00:00"/>
    <s v="CUST497"/>
    <x v="0"/>
    <n v="41"/>
    <x v="0"/>
    <x v="1"/>
    <x v="3"/>
    <n v="30"/>
    <x v="10"/>
    <n v="1.7999999999999998"/>
  </r>
  <r>
    <n v="498"/>
    <n v="19"/>
    <s v="June"/>
    <n v="6"/>
    <n v="2023"/>
    <d v="2023-06-19T00:00:00"/>
    <s v="CUST498"/>
    <x v="1"/>
    <n v="50"/>
    <x v="0"/>
    <x v="1"/>
    <x v="3"/>
    <n v="25"/>
    <x v="4"/>
    <n v="1.5"/>
  </r>
  <r>
    <n v="499"/>
    <n v="15"/>
    <s v="January"/>
    <n v="1"/>
    <n v="2023"/>
    <d v="2023-01-15T00:00:00"/>
    <s v="CUST499"/>
    <x v="0"/>
    <n v="46"/>
    <x v="0"/>
    <x v="0"/>
    <x v="1"/>
    <n v="30"/>
    <x v="17"/>
    <n v="0.89999999999999991"/>
  </r>
  <r>
    <n v="500"/>
    <n v="1"/>
    <s v="March"/>
    <n v="3"/>
    <n v="2023"/>
    <d v="2023-03-01T00:00:00"/>
    <s v="CUST500"/>
    <x v="1"/>
    <n v="60"/>
    <x v="0"/>
    <x v="0"/>
    <x v="3"/>
    <n v="25"/>
    <x v="4"/>
    <n v="1.5"/>
  </r>
  <r>
    <n v="501"/>
    <n v="14"/>
    <s v="May"/>
    <n v="5"/>
    <n v="2023"/>
    <d v="2023-05-14T00:00:00"/>
    <s v="CUST501"/>
    <x v="0"/>
    <n v="39"/>
    <x v="0"/>
    <x v="2"/>
    <x v="1"/>
    <n v="30"/>
    <x v="17"/>
    <n v="0.89999999999999991"/>
  </r>
  <r>
    <n v="502"/>
    <n v="2"/>
    <s v="April"/>
    <n v="4"/>
    <n v="2023"/>
    <d v="2023-04-02T00:00:00"/>
    <s v="CUST502"/>
    <x v="0"/>
    <n v="43"/>
    <x v="0"/>
    <x v="2"/>
    <x v="0"/>
    <n v="50"/>
    <x v="0"/>
    <n v="2.25"/>
  </r>
  <r>
    <n v="503"/>
    <n v="25"/>
    <s v="October"/>
    <n v="10"/>
    <n v="2023"/>
    <d v="2023-10-25T00:00:00"/>
    <s v="CUST503"/>
    <x v="0"/>
    <n v="45"/>
    <x v="0"/>
    <x v="0"/>
    <x v="3"/>
    <n v="500"/>
    <x v="11"/>
    <n v="30"/>
  </r>
  <r>
    <n v="504"/>
    <n v="16"/>
    <s v="May"/>
    <n v="5"/>
    <n v="2023"/>
    <d v="2023-05-16T00:00:00"/>
    <s v="CUST504"/>
    <x v="1"/>
    <n v="38"/>
    <x v="0"/>
    <x v="0"/>
    <x v="0"/>
    <n v="50"/>
    <x v="0"/>
    <n v="2.25"/>
  </r>
  <r>
    <n v="505"/>
    <n v="20"/>
    <s v="January"/>
    <n v="1"/>
    <n v="2023"/>
    <d v="2023-01-20T00:00:00"/>
    <s v="CUST505"/>
    <x v="0"/>
    <n v="24"/>
    <x v="0"/>
    <x v="0"/>
    <x v="2"/>
    <n v="50"/>
    <x v="5"/>
    <n v="0.75"/>
  </r>
  <r>
    <n v="506"/>
    <n v="25"/>
    <s v="February"/>
    <n v="2"/>
    <n v="2023"/>
    <d v="2023-02-25T00:00:00"/>
    <s v="CUST506"/>
    <x v="0"/>
    <n v="34"/>
    <x v="0"/>
    <x v="0"/>
    <x v="0"/>
    <n v="500"/>
    <x v="9"/>
    <n v="22.5"/>
  </r>
  <r>
    <n v="507"/>
    <n v="2"/>
    <s v="November"/>
    <n v="11"/>
    <n v="2023"/>
    <d v="2023-11-02T00:00:00"/>
    <s v="CUST507"/>
    <x v="1"/>
    <n v="37"/>
    <x v="0"/>
    <x v="2"/>
    <x v="0"/>
    <n v="500"/>
    <x v="9"/>
    <n v="22.5"/>
  </r>
  <r>
    <n v="508"/>
    <n v="11"/>
    <s v="August"/>
    <n v="8"/>
    <n v="2023"/>
    <d v="2023-08-11T00:00:00"/>
    <s v="CUST508"/>
    <x v="0"/>
    <n v="58"/>
    <x v="0"/>
    <x v="0"/>
    <x v="1"/>
    <n v="300"/>
    <x v="6"/>
    <n v="9"/>
  </r>
  <r>
    <n v="509"/>
    <n v="26"/>
    <s v="June"/>
    <n v="6"/>
    <n v="2023"/>
    <d v="2023-06-26T00:00:00"/>
    <s v="CUST509"/>
    <x v="1"/>
    <n v="37"/>
    <x v="0"/>
    <x v="2"/>
    <x v="0"/>
    <n v="300"/>
    <x v="12"/>
    <n v="13.5"/>
  </r>
  <r>
    <n v="510"/>
    <n v="10"/>
    <s v="June"/>
    <n v="6"/>
    <n v="2023"/>
    <d v="2023-06-10T00:00:00"/>
    <s v="CUST510"/>
    <x v="1"/>
    <n v="39"/>
    <x v="0"/>
    <x v="0"/>
    <x v="3"/>
    <n v="50"/>
    <x v="7"/>
    <n v="3"/>
  </r>
  <r>
    <n v="511"/>
    <n v="12"/>
    <s v="August"/>
    <n v="8"/>
    <n v="2023"/>
    <d v="2023-08-12T00:00:00"/>
    <s v="CUST511"/>
    <x v="0"/>
    <n v="45"/>
    <x v="0"/>
    <x v="0"/>
    <x v="1"/>
    <n v="50"/>
    <x v="4"/>
    <n v="1.5"/>
  </r>
  <r>
    <n v="512"/>
    <n v="7"/>
    <s v="November"/>
    <n v="11"/>
    <n v="2023"/>
    <d v="2023-11-07T00:00:00"/>
    <s v="CUST512"/>
    <x v="1"/>
    <n v="57"/>
    <x v="0"/>
    <x v="0"/>
    <x v="2"/>
    <n v="25"/>
    <x v="16"/>
    <n v="0.375"/>
  </r>
  <r>
    <n v="513"/>
    <n v="19"/>
    <s v="September"/>
    <n v="9"/>
    <n v="2023"/>
    <d v="2023-09-19T00:00:00"/>
    <s v="CUST513"/>
    <x v="0"/>
    <n v="24"/>
    <x v="0"/>
    <x v="2"/>
    <x v="3"/>
    <n v="25"/>
    <x v="4"/>
    <n v="1.5"/>
  </r>
  <r>
    <n v="514"/>
    <n v="1"/>
    <s v="March"/>
    <n v="3"/>
    <n v="2023"/>
    <d v="2023-03-01T00:00:00"/>
    <s v="CUST514"/>
    <x v="1"/>
    <n v="18"/>
    <x v="0"/>
    <x v="2"/>
    <x v="2"/>
    <n v="300"/>
    <x v="13"/>
    <n v="4.5"/>
  </r>
  <r>
    <n v="515"/>
    <n v="17"/>
    <s v="July"/>
    <n v="7"/>
    <n v="2023"/>
    <d v="2023-07-17T00:00:00"/>
    <s v="CUST515"/>
    <x v="1"/>
    <n v="49"/>
    <x v="0"/>
    <x v="1"/>
    <x v="0"/>
    <n v="300"/>
    <x v="12"/>
    <n v="13.5"/>
  </r>
  <r>
    <n v="516"/>
    <n v="23"/>
    <s v="October"/>
    <n v="10"/>
    <n v="2023"/>
    <d v="2023-10-23T00:00:00"/>
    <s v="CUST516"/>
    <x v="0"/>
    <n v="30"/>
    <x v="0"/>
    <x v="0"/>
    <x v="3"/>
    <n v="25"/>
    <x v="4"/>
    <n v="1.5"/>
  </r>
  <r>
    <n v="517"/>
    <n v="8"/>
    <s v="April"/>
    <n v="4"/>
    <n v="2023"/>
    <d v="2023-04-08T00:00:00"/>
    <s v="CUST517"/>
    <x v="1"/>
    <n v="47"/>
    <x v="0"/>
    <x v="1"/>
    <x v="3"/>
    <n v="25"/>
    <x v="4"/>
    <n v="1.5"/>
  </r>
  <r>
    <n v="518"/>
    <n v="11"/>
    <s v="May"/>
    <n v="5"/>
    <n v="2023"/>
    <d v="2023-05-11T00:00:00"/>
    <s v="CUST518"/>
    <x v="1"/>
    <n v="40"/>
    <x v="0"/>
    <x v="1"/>
    <x v="2"/>
    <n v="30"/>
    <x v="2"/>
    <n v="0.44999999999999996"/>
  </r>
  <r>
    <n v="519"/>
    <n v="23"/>
    <s v="January"/>
    <n v="1"/>
    <n v="2023"/>
    <d v="2023-01-23T00:00:00"/>
    <s v="CUST519"/>
    <x v="1"/>
    <n v="36"/>
    <x v="0"/>
    <x v="2"/>
    <x v="3"/>
    <n v="30"/>
    <x v="10"/>
    <n v="1.7999999999999998"/>
  </r>
  <r>
    <n v="520"/>
    <n v="29"/>
    <s v="December"/>
    <n v="12"/>
    <n v="2023"/>
    <d v="2023-12-29T00:00:00"/>
    <s v="CUST520"/>
    <x v="1"/>
    <n v="49"/>
    <x v="0"/>
    <x v="2"/>
    <x v="3"/>
    <n v="25"/>
    <x v="4"/>
    <n v="1.5"/>
  </r>
  <r>
    <n v="521"/>
    <n v="12"/>
    <s v="August"/>
    <n v="8"/>
    <n v="2023"/>
    <d v="2023-08-12T00:00:00"/>
    <s v="CUST521"/>
    <x v="1"/>
    <n v="47"/>
    <x v="0"/>
    <x v="1"/>
    <x v="3"/>
    <n v="30"/>
    <x v="10"/>
    <n v="1.7999999999999998"/>
  </r>
  <r>
    <n v="522"/>
    <n v="1"/>
    <s v="January"/>
    <n v="1"/>
    <n v="2023"/>
    <d v="2023-01-01T00:00:00"/>
    <s v="CUST522"/>
    <x v="0"/>
    <n v="46"/>
    <x v="0"/>
    <x v="0"/>
    <x v="0"/>
    <n v="500"/>
    <x v="9"/>
    <n v="22.5"/>
  </r>
  <r>
    <n v="523"/>
    <n v="24"/>
    <s v="September"/>
    <n v="9"/>
    <n v="2023"/>
    <d v="2023-09-24T00:00:00"/>
    <s v="CUST523"/>
    <x v="1"/>
    <n v="62"/>
    <x v="0"/>
    <x v="2"/>
    <x v="2"/>
    <n v="300"/>
    <x v="13"/>
    <n v="4.5"/>
  </r>
  <r>
    <n v="524"/>
    <n v="3"/>
    <s v="October"/>
    <n v="10"/>
    <n v="2023"/>
    <d v="2023-10-03T00:00:00"/>
    <s v="CUST524"/>
    <x v="0"/>
    <n v="46"/>
    <x v="0"/>
    <x v="0"/>
    <x v="3"/>
    <n v="300"/>
    <x v="14"/>
    <n v="18"/>
  </r>
  <r>
    <n v="525"/>
    <n v="18"/>
    <s v="December"/>
    <n v="12"/>
    <n v="2023"/>
    <d v="2023-12-18T00:00:00"/>
    <s v="CUST525"/>
    <x v="1"/>
    <n v="47"/>
    <x v="0"/>
    <x v="0"/>
    <x v="1"/>
    <n v="25"/>
    <x v="5"/>
    <n v="0.75"/>
  </r>
  <r>
    <n v="526"/>
    <n v="10"/>
    <s v="December"/>
    <n v="12"/>
    <n v="2023"/>
    <d v="2023-12-10T00:00:00"/>
    <s v="CUST526"/>
    <x v="0"/>
    <n v="33"/>
    <x v="0"/>
    <x v="1"/>
    <x v="1"/>
    <n v="50"/>
    <x v="4"/>
    <n v="1.5"/>
  </r>
  <r>
    <n v="527"/>
    <n v="11"/>
    <s v="April"/>
    <n v="4"/>
    <n v="2023"/>
    <d v="2023-04-11T00:00:00"/>
    <s v="CUST527"/>
    <x v="0"/>
    <n v="57"/>
    <x v="0"/>
    <x v="1"/>
    <x v="1"/>
    <n v="25"/>
    <x v="5"/>
    <n v="0.75"/>
  </r>
  <r>
    <n v="528"/>
    <n v="6"/>
    <s v="July"/>
    <n v="7"/>
    <n v="2023"/>
    <d v="2023-07-06T00:00:00"/>
    <s v="CUST528"/>
    <x v="1"/>
    <n v="36"/>
    <x v="0"/>
    <x v="1"/>
    <x v="1"/>
    <n v="30"/>
    <x v="17"/>
    <n v="0.89999999999999991"/>
  </r>
  <r>
    <n v="529"/>
    <n v="9"/>
    <s v="August"/>
    <n v="8"/>
    <n v="2023"/>
    <d v="2023-08-09T00:00:00"/>
    <s v="CUST529"/>
    <x v="1"/>
    <n v="35"/>
    <x v="0"/>
    <x v="1"/>
    <x v="0"/>
    <n v="50"/>
    <x v="0"/>
    <n v="2.25"/>
  </r>
  <r>
    <n v="530"/>
    <n v="5"/>
    <s v="February"/>
    <n v="2"/>
    <n v="2023"/>
    <d v="2023-02-05T00:00:00"/>
    <s v="CUST530"/>
    <x v="1"/>
    <n v="18"/>
    <x v="0"/>
    <x v="2"/>
    <x v="3"/>
    <n v="30"/>
    <x v="10"/>
    <n v="1.7999999999999998"/>
  </r>
  <r>
    <n v="531"/>
    <n v="7"/>
    <s v="December"/>
    <n v="12"/>
    <n v="2023"/>
    <d v="2023-12-07T00:00:00"/>
    <s v="CUST531"/>
    <x v="0"/>
    <n v="31"/>
    <x v="0"/>
    <x v="2"/>
    <x v="2"/>
    <n v="500"/>
    <x v="3"/>
    <n v="7.5"/>
  </r>
  <r>
    <n v="532"/>
    <n v="19"/>
    <s v="June"/>
    <n v="6"/>
    <n v="2023"/>
    <d v="2023-06-19T00:00:00"/>
    <s v="CUST532"/>
    <x v="1"/>
    <n v="64"/>
    <x v="0"/>
    <x v="1"/>
    <x v="3"/>
    <n v="30"/>
    <x v="10"/>
    <n v="1.7999999999999998"/>
  </r>
  <r>
    <n v="533"/>
    <n v="16"/>
    <s v="November"/>
    <n v="11"/>
    <n v="2023"/>
    <d v="2023-11-16T00:00:00"/>
    <s v="CUST533"/>
    <x v="0"/>
    <n v="19"/>
    <x v="0"/>
    <x v="2"/>
    <x v="0"/>
    <n v="500"/>
    <x v="9"/>
    <n v="22.5"/>
  </r>
  <r>
    <n v="534"/>
    <n v="10"/>
    <s v="June"/>
    <n v="6"/>
    <n v="2023"/>
    <d v="2023-06-10T00:00:00"/>
    <s v="CUST534"/>
    <x v="0"/>
    <n v="45"/>
    <x v="0"/>
    <x v="1"/>
    <x v="1"/>
    <n v="500"/>
    <x v="1"/>
    <n v="15"/>
  </r>
  <r>
    <n v="535"/>
    <n v="6"/>
    <s v="December"/>
    <n v="12"/>
    <n v="2023"/>
    <d v="2023-12-06T00:00:00"/>
    <s v="CUST535"/>
    <x v="0"/>
    <n v="47"/>
    <x v="0"/>
    <x v="0"/>
    <x v="0"/>
    <n v="30"/>
    <x v="15"/>
    <n v="1.3499999999999999"/>
  </r>
  <r>
    <n v="536"/>
    <n v="5"/>
    <s v="March"/>
    <n v="3"/>
    <n v="2023"/>
    <d v="2023-03-05T00:00:00"/>
    <s v="CUST536"/>
    <x v="1"/>
    <n v="55"/>
    <x v="0"/>
    <x v="0"/>
    <x v="3"/>
    <n v="30"/>
    <x v="10"/>
    <n v="1.7999999999999998"/>
  </r>
  <r>
    <n v="537"/>
    <n v="3"/>
    <s v="June"/>
    <n v="6"/>
    <n v="2023"/>
    <d v="2023-06-03T00:00:00"/>
    <s v="CUST537"/>
    <x v="1"/>
    <n v="21"/>
    <x v="0"/>
    <x v="0"/>
    <x v="2"/>
    <n v="500"/>
    <x v="3"/>
    <n v="7.5"/>
  </r>
  <r>
    <n v="538"/>
    <n v="17"/>
    <s v="September"/>
    <n v="9"/>
    <n v="2023"/>
    <d v="2023-09-17T00:00:00"/>
    <s v="CUST538"/>
    <x v="0"/>
    <n v="18"/>
    <x v="0"/>
    <x v="1"/>
    <x v="0"/>
    <n v="50"/>
    <x v="0"/>
    <n v="2.25"/>
  </r>
  <r>
    <n v="539"/>
    <n v="8"/>
    <s v="June"/>
    <n v="6"/>
    <n v="2023"/>
    <d v="2023-06-08T00:00:00"/>
    <s v="CUST539"/>
    <x v="0"/>
    <n v="25"/>
    <x v="0"/>
    <x v="0"/>
    <x v="2"/>
    <n v="500"/>
    <x v="3"/>
    <n v="7.5"/>
  </r>
  <r>
    <n v="540"/>
    <n v="8"/>
    <s v="December"/>
    <n v="12"/>
    <n v="2023"/>
    <d v="2023-12-08T00:00:00"/>
    <s v="CUST540"/>
    <x v="1"/>
    <n v="46"/>
    <x v="0"/>
    <x v="2"/>
    <x v="0"/>
    <n v="300"/>
    <x v="12"/>
    <n v="13.5"/>
  </r>
  <r>
    <n v="541"/>
    <n v="29"/>
    <s v="July"/>
    <n v="7"/>
    <n v="2023"/>
    <d v="2023-07-29T00:00:00"/>
    <s v="CUST541"/>
    <x v="0"/>
    <n v="56"/>
    <x v="0"/>
    <x v="0"/>
    <x v="2"/>
    <n v="500"/>
    <x v="3"/>
    <n v="7.5"/>
  </r>
  <r>
    <n v="542"/>
    <n v="17"/>
    <s v="June"/>
    <n v="6"/>
    <n v="2023"/>
    <d v="2023-06-17T00:00:00"/>
    <s v="CUST542"/>
    <x v="1"/>
    <n v="20"/>
    <x v="0"/>
    <x v="0"/>
    <x v="2"/>
    <n v="50"/>
    <x v="5"/>
    <n v="0.75"/>
  </r>
  <r>
    <n v="543"/>
    <n v="26"/>
    <s v="July"/>
    <n v="7"/>
    <n v="2023"/>
    <d v="2023-07-26T00:00:00"/>
    <s v="CUST543"/>
    <x v="0"/>
    <n v="49"/>
    <x v="0"/>
    <x v="0"/>
    <x v="1"/>
    <n v="300"/>
    <x v="6"/>
    <n v="9"/>
  </r>
  <r>
    <n v="544"/>
    <n v="23"/>
    <s v="December"/>
    <n v="12"/>
    <n v="2023"/>
    <d v="2023-12-23T00:00:00"/>
    <s v="CUST544"/>
    <x v="1"/>
    <n v="27"/>
    <x v="0"/>
    <x v="2"/>
    <x v="2"/>
    <n v="25"/>
    <x v="16"/>
    <n v="0.375"/>
  </r>
  <r>
    <n v="545"/>
    <n v="1"/>
    <s v="June"/>
    <n v="6"/>
    <n v="2023"/>
    <d v="2023-06-01T00:00:00"/>
    <s v="CUST545"/>
    <x v="0"/>
    <n v="27"/>
    <x v="0"/>
    <x v="1"/>
    <x v="1"/>
    <n v="25"/>
    <x v="5"/>
    <n v="0.75"/>
  </r>
  <r>
    <n v="546"/>
    <n v="11"/>
    <s v="October"/>
    <n v="10"/>
    <n v="2023"/>
    <d v="2023-10-11T00:00:00"/>
    <s v="CUST546"/>
    <x v="1"/>
    <n v="36"/>
    <x v="0"/>
    <x v="2"/>
    <x v="3"/>
    <n v="50"/>
    <x v="7"/>
    <n v="3"/>
  </r>
  <r>
    <n v="547"/>
    <n v="7"/>
    <s v="March"/>
    <n v="3"/>
    <n v="2023"/>
    <d v="2023-03-07T00:00:00"/>
    <s v="CUST547"/>
    <x v="0"/>
    <n v="63"/>
    <x v="0"/>
    <x v="1"/>
    <x v="3"/>
    <n v="500"/>
    <x v="11"/>
    <n v="30"/>
  </r>
  <r>
    <n v="548"/>
    <n v="9"/>
    <s v="April"/>
    <n v="4"/>
    <n v="2023"/>
    <d v="2023-04-09T00:00:00"/>
    <s v="CUST548"/>
    <x v="1"/>
    <n v="51"/>
    <x v="0"/>
    <x v="1"/>
    <x v="1"/>
    <n v="30"/>
    <x v="17"/>
    <n v="0.89999999999999991"/>
  </r>
  <r>
    <n v="549"/>
    <n v="4"/>
    <s v="August"/>
    <n v="8"/>
    <n v="2023"/>
    <d v="2023-08-04T00:00:00"/>
    <s v="CUST549"/>
    <x v="1"/>
    <n v="50"/>
    <x v="0"/>
    <x v="0"/>
    <x v="1"/>
    <n v="50"/>
    <x v="4"/>
    <n v="1.5"/>
  </r>
  <r>
    <n v="550"/>
    <n v="7"/>
    <s v="December"/>
    <n v="12"/>
    <n v="2023"/>
    <d v="2023-12-07T00:00:00"/>
    <s v="CUST550"/>
    <x v="0"/>
    <n v="40"/>
    <x v="0"/>
    <x v="1"/>
    <x v="0"/>
    <n v="300"/>
    <x v="12"/>
    <n v="13.5"/>
  </r>
  <r>
    <n v="551"/>
    <n v="14"/>
    <s v="July"/>
    <n v="7"/>
    <n v="2023"/>
    <d v="2023-07-14T00:00:00"/>
    <s v="CUST551"/>
    <x v="0"/>
    <n v="45"/>
    <x v="0"/>
    <x v="2"/>
    <x v="0"/>
    <n v="300"/>
    <x v="12"/>
    <n v="13.5"/>
  </r>
  <r>
    <n v="552"/>
    <n v="13"/>
    <s v="December"/>
    <n v="12"/>
    <n v="2023"/>
    <d v="2023-12-13T00:00:00"/>
    <s v="CUST552"/>
    <x v="1"/>
    <n v="49"/>
    <x v="0"/>
    <x v="2"/>
    <x v="0"/>
    <n v="25"/>
    <x v="8"/>
    <n v="1.125"/>
  </r>
  <r>
    <n v="553"/>
    <n v="31"/>
    <s v="March"/>
    <n v="3"/>
    <n v="2023"/>
    <d v="2023-03-31T00:00:00"/>
    <s v="CUST553"/>
    <x v="0"/>
    <n v="24"/>
    <x v="0"/>
    <x v="1"/>
    <x v="3"/>
    <n v="300"/>
    <x v="14"/>
    <n v="18"/>
  </r>
  <r>
    <n v="554"/>
    <n v="12"/>
    <s v="November"/>
    <n v="11"/>
    <n v="2023"/>
    <d v="2023-11-12T00:00:00"/>
    <s v="CUST554"/>
    <x v="1"/>
    <n v="46"/>
    <x v="0"/>
    <x v="0"/>
    <x v="0"/>
    <n v="50"/>
    <x v="0"/>
    <n v="2.25"/>
  </r>
  <r>
    <n v="555"/>
    <n v="19"/>
    <s v="October"/>
    <n v="10"/>
    <n v="2023"/>
    <d v="2023-10-19T00:00:00"/>
    <s v="CUST555"/>
    <x v="0"/>
    <n v="25"/>
    <x v="0"/>
    <x v="0"/>
    <x v="2"/>
    <n v="300"/>
    <x v="13"/>
    <n v="4.5"/>
  </r>
  <r>
    <n v="556"/>
    <n v="4"/>
    <s v="June"/>
    <n v="6"/>
    <n v="2023"/>
    <d v="2023-06-04T00:00:00"/>
    <s v="CUST556"/>
    <x v="1"/>
    <n v="18"/>
    <x v="0"/>
    <x v="2"/>
    <x v="2"/>
    <n v="50"/>
    <x v="5"/>
    <n v="0.75"/>
  </r>
  <r>
    <n v="557"/>
    <n v="27"/>
    <s v="July"/>
    <n v="7"/>
    <n v="2023"/>
    <d v="2023-07-27T00:00:00"/>
    <s v="CUST557"/>
    <x v="1"/>
    <n v="20"/>
    <x v="0"/>
    <x v="0"/>
    <x v="0"/>
    <n v="30"/>
    <x v="15"/>
    <n v="1.3499999999999999"/>
  </r>
  <r>
    <n v="558"/>
    <n v="8"/>
    <s v="October"/>
    <n v="10"/>
    <n v="2023"/>
    <d v="2023-10-08T00:00:00"/>
    <s v="CUST558"/>
    <x v="1"/>
    <n v="41"/>
    <x v="0"/>
    <x v="1"/>
    <x v="2"/>
    <n v="25"/>
    <x v="16"/>
    <n v="0.375"/>
  </r>
  <r>
    <n v="559"/>
    <n v="1"/>
    <s v="January"/>
    <n v="1"/>
    <n v="2023"/>
    <d v="2023-01-01T00:00:00"/>
    <s v="CUST559"/>
    <x v="1"/>
    <n v="40"/>
    <x v="0"/>
    <x v="1"/>
    <x v="3"/>
    <n v="300"/>
    <x v="14"/>
    <n v="18"/>
  </r>
  <r>
    <n v="560"/>
    <n v="5"/>
    <s v="June"/>
    <n v="6"/>
    <n v="2023"/>
    <d v="2023-06-05T00:00:00"/>
    <s v="CUST560"/>
    <x v="1"/>
    <n v="25"/>
    <x v="0"/>
    <x v="2"/>
    <x v="2"/>
    <n v="50"/>
    <x v="5"/>
    <n v="0.75"/>
  </r>
  <r>
    <n v="561"/>
    <n v="27"/>
    <s v="May"/>
    <n v="5"/>
    <n v="2023"/>
    <d v="2023-05-27T00:00:00"/>
    <s v="CUST561"/>
    <x v="1"/>
    <n v="64"/>
    <x v="0"/>
    <x v="1"/>
    <x v="3"/>
    <n v="500"/>
    <x v="11"/>
    <n v="30"/>
  </r>
  <r>
    <n v="562"/>
    <n v="18"/>
    <s v="April"/>
    <n v="4"/>
    <n v="2023"/>
    <d v="2023-04-18T00:00:00"/>
    <s v="CUST562"/>
    <x v="0"/>
    <n v="54"/>
    <x v="0"/>
    <x v="2"/>
    <x v="1"/>
    <n v="25"/>
    <x v="5"/>
    <n v="0.75"/>
  </r>
  <r>
    <n v="563"/>
    <n v="9"/>
    <s v="August"/>
    <n v="8"/>
    <n v="2023"/>
    <d v="2023-08-09T00:00:00"/>
    <s v="CUST563"/>
    <x v="0"/>
    <n v="20"/>
    <x v="0"/>
    <x v="1"/>
    <x v="1"/>
    <n v="30"/>
    <x v="17"/>
    <n v="0.89999999999999991"/>
  </r>
  <r>
    <n v="564"/>
    <n v="24"/>
    <s v="October"/>
    <n v="10"/>
    <n v="2023"/>
    <d v="2023-10-24T00:00:00"/>
    <s v="CUST564"/>
    <x v="0"/>
    <n v="50"/>
    <x v="0"/>
    <x v="2"/>
    <x v="1"/>
    <n v="50"/>
    <x v="4"/>
    <n v="1.5"/>
  </r>
  <r>
    <n v="565"/>
    <n v="7"/>
    <s v="November"/>
    <n v="11"/>
    <n v="2023"/>
    <d v="2023-11-07T00:00:00"/>
    <s v="CUST565"/>
    <x v="1"/>
    <n v="45"/>
    <x v="0"/>
    <x v="0"/>
    <x v="1"/>
    <n v="30"/>
    <x v="17"/>
    <n v="0.89999999999999991"/>
  </r>
  <r>
    <n v="566"/>
    <n v="2"/>
    <s v="December"/>
    <n v="12"/>
    <n v="2023"/>
    <d v="2023-12-02T00:00:00"/>
    <s v="CUST566"/>
    <x v="1"/>
    <n v="64"/>
    <x v="0"/>
    <x v="1"/>
    <x v="2"/>
    <n v="30"/>
    <x v="2"/>
    <n v="0.44999999999999996"/>
  </r>
  <r>
    <n v="567"/>
    <n v="14"/>
    <s v="June"/>
    <n v="6"/>
    <n v="2023"/>
    <d v="2023-06-14T00:00:00"/>
    <s v="CUST567"/>
    <x v="1"/>
    <n v="25"/>
    <x v="0"/>
    <x v="1"/>
    <x v="0"/>
    <n v="300"/>
    <x v="12"/>
    <n v="13.5"/>
  </r>
  <r>
    <n v="568"/>
    <n v="27"/>
    <s v="August"/>
    <n v="8"/>
    <n v="2023"/>
    <d v="2023-08-27T00:00:00"/>
    <s v="CUST568"/>
    <x v="1"/>
    <n v="51"/>
    <x v="0"/>
    <x v="2"/>
    <x v="2"/>
    <n v="300"/>
    <x v="13"/>
    <n v="4.5"/>
  </r>
  <r>
    <n v="569"/>
    <n v="15"/>
    <s v="August"/>
    <n v="8"/>
    <n v="2023"/>
    <d v="2023-08-15T00:00:00"/>
    <s v="CUST569"/>
    <x v="0"/>
    <n v="52"/>
    <x v="0"/>
    <x v="2"/>
    <x v="3"/>
    <n v="50"/>
    <x v="7"/>
    <n v="3"/>
  </r>
  <r>
    <n v="570"/>
    <n v="15"/>
    <s v="August"/>
    <n v="8"/>
    <n v="2023"/>
    <d v="2023-08-15T00:00:00"/>
    <s v="CUST570"/>
    <x v="0"/>
    <n v="49"/>
    <x v="0"/>
    <x v="1"/>
    <x v="2"/>
    <n v="500"/>
    <x v="3"/>
    <n v="7.5"/>
  </r>
  <r>
    <n v="571"/>
    <n v="12"/>
    <s v="December"/>
    <n v="12"/>
    <n v="2023"/>
    <d v="2023-12-12T00:00:00"/>
    <s v="CUST571"/>
    <x v="1"/>
    <n v="41"/>
    <x v="0"/>
    <x v="2"/>
    <x v="2"/>
    <n v="50"/>
    <x v="5"/>
    <n v="0.75"/>
  </r>
  <r>
    <n v="572"/>
    <n v="20"/>
    <s v="April"/>
    <n v="4"/>
    <n v="2023"/>
    <d v="2023-04-20T00:00:00"/>
    <s v="CUST572"/>
    <x v="0"/>
    <n v="31"/>
    <x v="0"/>
    <x v="1"/>
    <x v="3"/>
    <n v="500"/>
    <x v="11"/>
    <n v="30"/>
  </r>
  <r>
    <n v="573"/>
    <n v="19"/>
    <s v="September"/>
    <n v="9"/>
    <n v="2023"/>
    <d v="2023-09-19T00:00:00"/>
    <s v="CUST573"/>
    <x v="0"/>
    <n v="49"/>
    <x v="0"/>
    <x v="0"/>
    <x v="1"/>
    <n v="30"/>
    <x v="17"/>
    <n v="0.89999999999999991"/>
  </r>
  <r>
    <n v="574"/>
    <n v="31"/>
    <s v="August"/>
    <n v="8"/>
    <n v="2023"/>
    <d v="2023-08-31T00:00:00"/>
    <s v="CUST574"/>
    <x v="1"/>
    <n v="63"/>
    <x v="0"/>
    <x v="2"/>
    <x v="1"/>
    <n v="25"/>
    <x v="5"/>
    <n v="0.75"/>
  </r>
  <r>
    <n v="575"/>
    <n v="28"/>
    <s v="March"/>
    <n v="3"/>
    <n v="2023"/>
    <d v="2023-03-28T00:00:00"/>
    <s v="CUST575"/>
    <x v="0"/>
    <n v="60"/>
    <x v="0"/>
    <x v="1"/>
    <x v="1"/>
    <n v="50"/>
    <x v="4"/>
    <n v="1.5"/>
  </r>
  <r>
    <n v="576"/>
    <n v="4"/>
    <s v="December"/>
    <n v="12"/>
    <n v="2023"/>
    <d v="2023-12-04T00:00:00"/>
    <s v="CUST576"/>
    <x v="1"/>
    <n v="33"/>
    <x v="0"/>
    <x v="0"/>
    <x v="0"/>
    <n v="50"/>
    <x v="0"/>
    <n v="2.25"/>
  </r>
  <r>
    <n v="577"/>
    <n v="13"/>
    <s v="February"/>
    <n v="2"/>
    <n v="2023"/>
    <d v="2023-02-13T00:00:00"/>
    <s v="CUST577"/>
    <x v="0"/>
    <n v="21"/>
    <x v="0"/>
    <x v="0"/>
    <x v="3"/>
    <n v="500"/>
    <x v="11"/>
    <n v="30"/>
  </r>
  <r>
    <n v="578"/>
    <n v="26"/>
    <s v="May"/>
    <n v="5"/>
    <n v="2023"/>
    <d v="2023-05-26T00:00:00"/>
    <s v="CUST578"/>
    <x v="1"/>
    <n v="54"/>
    <x v="0"/>
    <x v="1"/>
    <x v="3"/>
    <n v="30"/>
    <x v="10"/>
    <n v="1.7999999999999998"/>
  </r>
  <r>
    <n v="579"/>
    <n v="21"/>
    <s v="September"/>
    <n v="9"/>
    <n v="2023"/>
    <d v="2023-09-21T00:00:00"/>
    <s v="CUST579"/>
    <x v="1"/>
    <n v="38"/>
    <x v="0"/>
    <x v="2"/>
    <x v="2"/>
    <n v="30"/>
    <x v="2"/>
    <n v="0.44999999999999996"/>
  </r>
  <r>
    <n v="580"/>
    <n v="6"/>
    <s v="December"/>
    <n v="12"/>
    <n v="2023"/>
    <d v="2023-12-06T00:00:00"/>
    <s v="CUST580"/>
    <x v="1"/>
    <n v="31"/>
    <x v="0"/>
    <x v="1"/>
    <x v="0"/>
    <n v="500"/>
    <x v="9"/>
    <n v="22.5"/>
  </r>
  <r>
    <n v="581"/>
    <n v="21"/>
    <s v="November"/>
    <n v="11"/>
    <n v="2023"/>
    <d v="2023-11-21T00:00:00"/>
    <s v="CUST581"/>
    <x v="1"/>
    <n v="48"/>
    <x v="0"/>
    <x v="0"/>
    <x v="1"/>
    <n v="30"/>
    <x v="17"/>
    <n v="0.89999999999999991"/>
  </r>
  <r>
    <n v="582"/>
    <n v="14"/>
    <s v="November"/>
    <n v="11"/>
    <n v="2023"/>
    <d v="2023-11-14T00:00:00"/>
    <s v="CUST582"/>
    <x v="0"/>
    <n v="35"/>
    <x v="0"/>
    <x v="1"/>
    <x v="0"/>
    <n v="300"/>
    <x v="12"/>
    <n v="13.5"/>
  </r>
  <r>
    <n v="583"/>
    <n v="21"/>
    <s v="June"/>
    <n v="6"/>
    <n v="2023"/>
    <d v="2023-06-21T00:00:00"/>
    <s v="CUST583"/>
    <x v="1"/>
    <n v="24"/>
    <x v="0"/>
    <x v="2"/>
    <x v="3"/>
    <n v="25"/>
    <x v="4"/>
    <n v="1.5"/>
  </r>
  <r>
    <n v="584"/>
    <n v="17"/>
    <s v="February"/>
    <n v="2"/>
    <n v="2023"/>
    <d v="2023-02-17T00:00:00"/>
    <s v="CUST584"/>
    <x v="1"/>
    <n v="27"/>
    <x v="0"/>
    <x v="0"/>
    <x v="3"/>
    <n v="50"/>
    <x v="7"/>
    <n v="3"/>
  </r>
  <r>
    <n v="585"/>
    <n v="1"/>
    <s v="May"/>
    <n v="5"/>
    <n v="2023"/>
    <d v="2023-05-01T00:00:00"/>
    <s v="CUST585"/>
    <x v="1"/>
    <n v="24"/>
    <x v="0"/>
    <x v="1"/>
    <x v="2"/>
    <n v="25"/>
    <x v="16"/>
    <n v="0.375"/>
  </r>
  <r>
    <n v="586"/>
    <n v="11"/>
    <s v="December"/>
    <n v="12"/>
    <n v="2023"/>
    <d v="2023-12-11T00:00:00"/>
    <s v="CUST586"/>
    <x v="0"/>
    <n v="50"/>
    <x v="0"/>
    <x v="2"/>
    <x v="2"/>
    <n v="50"/>
    <x v="5"/>
    <n v="0.75"/>
  </r>
  <r>
    <n v="587"/>
    <n v="8"/>
    <s v="June"/>
    <n v="6"/>
    <n v="2023"/>
    <d v="2023-06-08T00:00:00"/>
    <s v="CUST587"/>
    <x v="1"/>
    <n v="40"/>
    <x v="0"/>
    <x v="0"/>
    <x v="3"/>
    <n v="300"/>
    <x v="14"/>
    <n v="18"/>
  </r>
  <r>
    <n v="588"/>
    <n v="26"/>
    <s v="April"/>
    <n v="4"/>
    <n v="2023"/>
    <d v="2023-04-26T00:00:00"/>
    <s v="CUST588"/>
    <x v="0"/>
    <n v="38"/>
    <x v="0"/>
    <x v="2"/>
    <x v="1"/>
    <n v="30"/>
    <x v="17"/>
    <n v="0.89999999999999991"/>
  </r>
  <r>
    <n v="589"/>
    <n v="12"/>
    <s v="April"/>
    <n v="4"/>
    <n v="2023"/>
    <d v="2023-04-12T00:00:00"/>
    <s v="CUST589"/>
    <x v="1"/>
    <n v="36"/>
    <x v="0"/>
    <x v="0"/>
    <x v="1"/>
    <n v="500"/>
    <x v="1"/>
    <n v="15"/>
  </r>
  <r>
    <n v="590"/>
    <n v="17"/>
    <s v="March"/>
    <n v="3"/>
    <n v="2023"/>
    <d v="2023-03-17T00:00:00"/>
    <s v="CUST590"/>
    <x v="0"/>
    <n v="36"/>
    <x v="0"/>
    <x v="1"/>
    <x v="0"/>
    <n v="300"/>
    <x v="12"/>
    <n v="13.5"/>
  </r>
  <r>
    <n v="591"/>
    <n v="13"/>
    <s v="January"/>
    <n v="1"/>
    <n v="2023"/>
    <d v="2023-01-13T00:00:00"/>
    <s v="CUST591"/>
    <x v="0"/>
    <n v="53"/>
    <x v="0"/>
    <x v="2"/>
    <x v="3"/>
    <n v="25"/>
    <x v="4"/>
    <n v="1.5"/>
  </r>
  <r>
    <n v="592"/>
    <n v="24"/>
    <s v="January"/>
    <n v="1"/>
    <n v="2023"/>
    <d v="2023-01-24T00:00:00"/>
    <s v="CUST592"/>
    <x v="1"/>
    <n v="46"/>
    <x v="0"/>
    <x v="0"/>
    <x v="3"/>
    <n v="500"/>
    <x v="11"/>
    <n v="30"/>
  </r>
  <r>
    <n v="593"/>
    <n v="6"/>
    <s v="May"/>
    <n v="5"/>
    <n v="2023"/>
    <d v="2023-05-06T00:00:00"/>
    <s v="CUST593"/>
    <x v="0"/>
    <n v="35"/>
    <x v="0"/>
    <x v="2"/>
    <x v="1"/>
    <n v="30"/>
    <x v="17"/>
    <n v="0.89999999999999991"/>
  </r>
  <r>
    <n v="594"/>
    <n v="1"/>
    <s v="September"/>
    <n v="9"/>
    <n v="2023"/>
    <d v="2023-09-01T00:00:00"/>
    <s v="CUST594"/>
    <x v="1"/>
    <n v="19"/>
    <x v="0"/>
    <x v="2"/>
    <x v="1"/>
    <n v="300"/>
    <x v="6"/>
    <n v="9"/>
  </r>
  <r>
    <n v="595"/>
    <n v="9"/>
    <s v="November"/>
    <n v="11"/>
    <n v="2023"/>
    <d v="2023-11-09T00:00:00"/>
    <s v="CUST595"/>
    <x v="1"/>
    <n v="18"/>
    <x v="0"/>
    <x v="1"/>
    <x v="3"/>
    <n v="500"/>
    <x v="11"/>
    <n v="30"/>
  </r>
  <r>
    <n v="596"/>
    <n v="7"/>
    <s v="February"/>
    <n v="2"/>
    <n v="2023"/>
    <d v="2023-02-07T00:00:00"/>
    <s v="CUST596"/>
    <x v="1"/>
    <n v="64"/>
    <x v="0"/>
    <x v="2"/>
    <x v="2"/>
    <n v="300"/>
    <x v="13"/>
    <n v="4.5"/>
  </r>
  <r>
    <n v="597"/>
    <n v="22"/>
    <s v="August"/>
    <n v="8"/>
    <n v="2023"/>
    <d v="2023-08-22T00:00:00"/>
    <s v="CUST597"/>
    <x v="0"/>
    <n v="22"/>
    <x v="0"/>
    <x v="0"/>
    <x v="3"/>
    <n v="300"/>
    <x v="14"/>
    <n v="18"/>
  </r>
  <r>
    <n v="598"/>
    <n v="1"/>
    <s v="August"/>
    <n v="8"/>
    <n v="2023"/>
    <d v="2023-08-01T00:00:00"/>
    <s v="CUST598"/>
    <x v="0"/>
    <n v="37"/>
    <x v="0"/>
    <x v="0"/>
    <x v="3"/>
    <n v="30"/>
    <x v="10"/>
    <n v="1.7999999999999998"/>
  </r>
  <r>
    <n v="599"/>
    <n v="19"/>
    <s v="November"/>
    <n v="11"/>
    <n v="2023"/>
    <d v="2023-11-19T00:00:00"/>
    <s v="CUST599"/>
    <x v="1"/>
    <n v="28"/>
    <x v="0"/>
    <x v="0"/>
    <x v="1"/>
    <n v="50"/>
    <x v="4"/>
    <n v="1.5"/>
  </r>
  <r>
    <n v="600"/>
    <n v="22"/>
    <s v="October"/>
    <n v="10"/>
    <n v="2023"/>
    <d v="2023-10-22T00:00:00"/>
    <s v="CUST600"/>
    <x v="1"/>
    <n v="59"/>
    <x v="0"/>
    <x v="0"/>
    <x v="1"/>
    <n v="500"/>
    <x v="1"/>
    <n v="15"/>
  </r>
  <r>
    <n v="601"/>
    <n v="10"/>
    <s v="April"/>
    <n v="4"/>
    <n v="2023"/>
    <d v="2023-04-10T00:00:00"/>
    <s v="CUST601"/>
    <x v="0"/>
    <n v="19"/>
    <x v="0"/>
    <x v="1"/>
    <x v="2"/>
    <n v="30"/>
    <x v="2"/>
    <n v="0.44999999999999996"/>
  </r>
  <r>
    <n v="602"/>
    <n v="23"/>
    <s v="December"/>
    <n v="12"/>
    <n v="2023"/>
    <d v="2023-12-23T00:00:00"/>
    <s v="CUST602"/>
    <x v="1"/>
    <n v="20"/>
    <x v="0"/>
    <x v="2"/>
    <x v="2"/>
    <n v="300"/>
    <x v="13"/>
    <n v="4.5"/>
  </r>
  <r>
    <n v="603"/>
    <n v="16"/>
    <s v="July"/>
    <n v="7"/>
    <n v="2023"/>
    <d v="2023-07-16T00:00:00"/>
    <s v="CUST603"/>
    <x v="1"/>
    <n v="40"/>
    <x v="0"/>
    <x v="1"/>
    <x v="0"/>
    <n v="30"/>
    <x v="15"/>
    <n v="1.3499999999999999"/>
  </r>
  <r>
    <n v="604"/>
    <n v="11"/>
    <s v="September"/>
    <n v="9"/>
    <n v="2023"/>
    <d v="2023-09-11T00:00:00"/>
    <s v="CUST604"/>
    <x v="1"/>
    <n v="29"/>
    <x v="0"/>
    <x v="2"/>
    <x v="3"/>
    <n v="50"/>
    <x v="7"/>
    <n v="3"/>
  </r>
  <r>
    <n v="605"/>
    <n v="24"/>
    <s v="July"/>
    <n v="7"/>
    <n v="2023"/>
    <d v="2023-07-24T00:00:00"/>
    <s v="CUST605"/>
    <x v="0"/>
    <n v="37"/>
    <x v="0"/>
    <x v="2"/>
    <x v="1"/>
    <n v="500"/>
    <x v="1"/>
    <n v="15"/>
  </r>
  <r>
    <n v="606"/>
    <n v="5"/>
    <s v="May"/>
    <n v="5"/>
    <n v="2023"/>
    <d v="2023-05-05T00:00:00"/>
    <s v="CUST606"/>
    <x v="0"/>
    <n v="22"/>
    <x v="0"/>
    <x v="2"/>
    <x v="2"/>
    <n v="50"/>
    <x v="5"/>
    <n v="0.75"/>
  </r>
  <r>
    <n v="607"/>
    <n v="17"/>
    <s v="March"/>
    <n v="3"/>
    <n v="2023"/>
    <d v="2023-03-17T00:00:00"/>
    <s v="CUST607"/>
    <x v="0"/>
    <n v="54"/>
    <x v="0"/>
    <x v="1"/>
    <x v="0"/>
    <n v="25"/>
    <x v="8"/>
    <n v="1.125"/>
  </r>
  <r>
    <n v="608"/>
    <n v="2"/>
    <s v="December"/>
    <n v="12"/>
    <n v="2023"/>
    <d v="2023-12-02T00:00:00"/>
    <s v="CUST608"/>
    <x v="1"/>
    <n v="55"/>
    <x v="0"/>
    <x v="2"/>
    <x v="0"/>
    <n v="500"/>
    <x v="9"/>
    <n v="22.5"/>
  </r>
  <r>
    <n v="609"/>
    <n v="19"/>
    <s v="December"/>
    <n v="12"/>
    <n v="2023"/>
    <d v="2023-12-19T00:00:00"/>
    <s v="CUST609"/>
    <x v="1"/>
    <n v="47"/>
    <x v="0"/>
    <x v="1"/>
    <x v="1"/>
    <n v="50"/>
    <x v="4"/>
    <n v="1.5"/>
  </r>
  <r>
    <n v="610"/>
    <n v="3"/>
    <s v="January"/>
    <n v="1"/>
    <n v="2023"/>
    <d v="2023-01-03T00:00:00"/>
    <s v="CUST610"/>
    <x v="1"/>
    <n v="26"/>
    <x v="0"/>
    <x v="0"/>
    <x v="1"/>
    <n v="300"/>
    <x v="6"/>
    <n v="9"/>
  </r>
  <r>
    <n v="611"/>
    <n v="24"/>
    <s v="February"/>
    <n v="2"/>
    <n v="2023"/>
    <d v="2023-02-24T00:00:00"/>
    <s v="CUST611"/>
    <x v="0"/>
    <n v="51"/>
    <x v="0"/>
    <x v="0"/>
    <x v="0"/>
    <n v="500"/>
    <x v="9"/>
    <n v="22.5"/>
  </r>
  <r>
    <n v="612"/>
    <n v="6"/>
    <s v="August"/>
    <n v="8"/>
    <n v="2023"/>
    <d v="2023-08-06T00:00:00"/>
    <s v="CUST612"/>
    <x v="1"/>
    <n v="61"/>
    <x v="0"/>
    <x v="2"/>
    <x v="2"/>
    <n v="500"/>
    <x v="3"/>
    <n v="7.5"/>
  </r>
  <r>
    <n v="613"/>
    <n v="23"/>
    <s v="April"/>
    <n v="4"/>
    <n v="2023"/>
    <d v="2023-04-23T00:00:00"/>
    <s v="CUST613"/>
    <x v="1"/>
    <n v="52"/>
    <x v="0"/>
    <x v="1"/>
    <x v="0"/>
    <n v="30"/>
    <x v="15"/>
    <n v="1.3499999999999999"/>
  </r>
  <r>
    <n v="614"/>
    <n v="1"/>
    <s v="April"/>
    <n v="4"/>
    <n v="2023"/>
    <d v="2023-04-01T00:00:00"/>
    <s v="CUST614"/>
    <x v="1"/>
    <n v="39"/>
    <x v="0"/>
    <x v="0"/>
    <x v="3"/>
    <n v="300"/>
    <x v="14"/>
    <n v="18"/>
  </r>
  <r>
    <n v="615"/>
    <n v="23"/>
    <s v="December"/>
    <n v="12"/>
    <n v="2023"/>
    <d v="2023-12-23T00:00:00"/>
    <s v="CUST615"/>
    <x v="1"/>
    <n v="61"/>
    <x v="0"/>
    <x v="1"/>
    <x v="3"/>
    <n v="25"/>
    <x v="4"/>
    <n v="1.5"/>
  </r>
  <r>
    <n v="616"/>
    <n v="23"/>
    <s v="September"/>
    <n v="9"/>
    <n v="2023"/>
    <d v="2023-09-23T00:00:00"/>
    <s v="CUST616"/>
    <x v="0"/>
    <n v="41"/>
    <x v="0"/>
    <x v="1"/>
    <x v="1"/>
    <n v="50"/>
    <x v="4"/>
    <n v="1.5"/>
  </r>
  <r>
    <n v="617"/>
    <n v="26"/>
    <s v="August"/>
    <n v="8"/>
    <n v="2023"/>
    <d v="2023-08-26T00:00:00"/>
    <s v="CUST617"/>
    <x v="0"/>
    <n v="34"/>
    <x v="0"/>
    <x v="2"/>
    <x v="2"/>
    <n v="30"/>
    <x v="2"/>
    <n v="0.44999999999999996"/>
  </r>
  <r>
    <n v="618"/>
    <n v="26"/>
    <s v="January"/>
    <n v="1"/>
    <n v="2023"/>
    <d v="2023-01-26T00:00:00"/>
    <s v="CUST618"/>
    <x v="1"/>
    <n v="27"/>
    <x v="0"/>
    <x v="0"/>
    <x v="2"/>
    <n v="50"/>
    <x v="5"/>
    <n v="0.75"/>
  </r>
  <r>
    <n v="619"/>
    <n v="13"/>
    <s v="October"/>
    <n v="10"/>
    <n v="2023"/>
    <d v="2023-10-13T00:00:00"/>
    <s v="CUST619"/>
    <x v="0"/>
    <n v="47"/>
    <x v="0"/>
    <x v="2"/>
    <x v="3"/>
    <n v="25"/>
    <x v="4"/>
    <n v="1.5"/>
  </r>
  <r>
    <n v="620"/>
    <n v="8"/>
    <s v="May"/>
    <n v="5"/>
    <n v="2023"/>
    <d v="2023-05-08T00:00:00"/>
    <s v="CUST620"/>
    <x v="0"/>
    <n v="63"/>
    <x v="0"/>
    <x v="2"/>
    <x v="0"/>
    <n v="25"/>
    <x v="8"/>
    <n v="1.125"/>
  </r>
  <r>
    <n v="621"/>
    <n v="4"/>
    <s v="March"/>
    <n v="3"/>
    <n v="2023"/>
    <d v="2023-03-04T00:00:00"/>
    <s v="CUST621"/>
    <x v="1"/>
    <n v="40"/>
    <x v="0"/>
    <x v="0"/>
    <x v="1"/>
    <n v="500"/>
    <x v="1"/>
    <n v="15"/>
  </r>
  <r>
    <n v="622"/>
    <n v="22"/>
    <s v="August"/>
    <n v="8"/>
    <n v="2023"/>
    <d v="2023-08-22T00:00:00"/>
    <s v="CUST622"/>
    <x v="1"/>
    <n v="49"/>
    <x v="0"/>
    <x v="0"/>
    <x v="0"/>
    <n v="25"/>
    <x v="8"/>
    <n v="1.125"/>
  </r>
  <r>
    <n v="623"/>
    <n v="10"/>
    <s v="March"/>
    <n v="3"/>
    <n v="2023"/>
    <d v="2023-03-10T00:00:00"/>
    <s v="CUST623"/>
    <x v="0"/>
    <n v="34"/>
    <x v="0"/>
    <x v="1"/>
    <x v="0"/>
    <n v="50"/>
    <x v="0"/>
    <n v="2.25"/>
  </r>
  <r>
    <n v="624"/>
    <n v="26"/>
    <s v="August"/>
    <n v="8"/>
    <n v="2023"/>
    <d v="2023-08-26T00:00:00"/>
    <s v="CUST624"/>
    <x v="1"/>
    <n v="34"/>
    <x v="0"/>
    <x v="0"/>
    <x v="0"/>
    <n v="300"/>
    <x v="12"/>
    <n v="13.5"/>
  </r>
  <r>
    <n v="625"/>
    <n v="8"/>
    <s v="December"/>
    <n v="12"/>
    <n v="2023"/>
    <d v="2023-12-08T00:00:00"/>
    <s v="CUST625"/>
    <x v="0"/>
    <n v="31"/>
    <x v="0"/>
    <x v="1"/>
    <x v="2"/>
    <n v="300"/>
    <x v="13"/>
    <n v="4.5"/>
  </r>
  <r>
    <n v="626"/>
    <n v="29"/>
    <s v="September"/>
    <n v="9"/>
    <n v="2023"/>
    <d v="2023-09-29T00:00:00"/>
    <s v="CUST626"/>
    <x v="1"/>
    <n v="26"/>
    <x v="0"/>
    <x v="1"/>
    <x v="3"/>
    <n v="500"/>
    <x v="11"/>
    <n v="30"/>
  </r>
  <r>
    <n v="627"/>
    <n v="14"/>
    <s v="October"/>
    <n v="10"/>
    <n v="2023"/>
    <d v="2023-10-14T00:00:00"/>
    <s v="CUST627"/>
    <x v="0"/>
    <n v="57"/>
    <x v="0"/>
    <x v="1"/>
    <x v="2"/>
    <n v="50"/>
    <x v="5"/>
    <n v="0.75"/>
  </r>
  <r>
    <n v="628"/>
    <n v="1"/>
    <s v="November"/>
    <n v="11"/>
    <n v="2023"/>
    <d v="2023-11-01T00:00:00"/>
    <s v="CUST628"/>
    <x v="1"/>
    <n v="19"/>
    <x v="0"/>
    <x v="0"/>
    <x v="3"/>
    <n v="50"/>
    <x v="7"/>
    <n v="3"/>
  </r>
  <r>
    <n v="629"/>
    <n v="12"/>
    <s v="June"/>
    <n v="6"/>
    <n v="2023"/>
    <d v="2023-06-12T00:00:00"/>
    <s v="CUST629"/>
    <x v="0"/>
    <n v="62"/>
    <x v="0"/>
    <x v="2"/>
    <x v="1"/>
    <n v="25"/>
    <x v="5"/>
    <n v="0.75"/>
  </r>
  <r>
    <n v="630"/>
    <n v="15"/>
    <s v="August"/>
    <n v="8"/>
    <n v="2023"/>
    <d v="2023-08-15T00:00:00"/>
    <s v="CUST630"/>
    <x v="0"/>
    <n v="42"/>
    <x v="0"/>
    <x v="1"/>
    <x v="1"/>
    <n v="50"/>
    <x v="4"/>
    <n v="1.5"/>
  </r>
  <r>
    <n v="631"/>
    <n v="10"/>
    <s v="November"/>
    <n v="11"/>
    <n v="2023"/>
    <d v="2023-11-10T00:00:00"/>
    <s v="CUST631"/>
    <x v="0"/>
    <n v="56"/>
    <x v="0"/>
    <x v="2"/>
    <x v="0"/>
    <n v="30"/>
    <x v="15"/>
    <n v="1.3499999999999999"/>
  </r>
  <r>
    <n v="632"/>
    <n v="16"/>
    <s v="September"/>
    <n v="9"/>
    <n v="2023"/>
    <d v="2023-09-16T00:00:00"/>
    <s v="CUST632"/>
    <x v="1"/>
    <n v="26"/>
    <x v="0"/>
    <x v="2"/>
    <x v="3"/>
    <n v="25"/>
    <x v="4"/>
    <n v="1.5"/>
  </r>
  <r>
    <n v="633"/>
    <n v="7"/>
    <s v="August"/>
    <n v="8"/>
    <n v="2023"/>
    <d v="2023-08-07T00:00:00"/>
    <s v="CUST633"/>
    <x v="0"/>
    <n v="39"/>
    <x v="0"/>
    <x v="0"/>
    <x v="3"/>
    <n v="30"/>
    <x v="10"/>
    <n v="1.7999999999999998"/>
  </r>
  <r>
    <n v="634"/>
    <n v="8"/>
    <s v="October"/>
    <n v="10"/>
    <n v="2023"/>
    <d v="2023-10-08T00:00:00"/>
    <s v="CUST634"/>
    <x v="0"/>
    <n v="60"/>
    <x v="0"/>
    <x v="2"/>
    <x v="3"/>
    <n v="500"/>
    <x v="11"/>
    <n v="30"/>
  </r>
  <r>
    <n v="635"/>
    <n v="17"/>
    <s v="August"/>
    <n v="8"/>
    <n v="2023"/>
    <d v="2023-08-17T00:00:00"/>
    <s v="CUST635"/>
    <x v="1"/>
    <n v="63"/>
    <x v="0"/>
    <x v="2"/>
    <x v="0"/>
    <n v="300"/>
    <x v="12"/>
    <n v="13.5"/>
  </r>
  <r>
    <n v="636"/>
    <n v="23"/>
    <s v="March"/>
    <n v="3"/>
    <n v="2023"/>
    <d v="2023-03-23T00:00:00"/>
    <s v="CUST636"/>
    <x v="1"/>
    <n v="21"/>
    <x v="0"/>
    <x v="0"/>
    <x v="0"/>
    <n v="500"/>
    <x v="9"/>
    <n v="22.5"/>
  </r>
  <r>
    <n v="637"/>
    <n v="1"/>
    <s v="September"/>
    <n v="9"/>
    <n v="2023"/>
    <d v="2023-09-01T00:00:00"/>
    <s v="CUST637"/>
    <x v="0"/>
    <n v="43"/>
    <x v="0"/>
    <x v="1"/>
    <x v="1"/>
    <n v="300"/>
    <x v="6"/>
    <n v="9"/>
  </r>
  <r>
    <n v="638"/>
    <n v="19"/>
    <s v="August"/>
    <n v="8"/>
    <n v="2023"/>
    <d v="2023-08-19T00:00:00"/>
    <s v="CUST638"/>
    <x v="0"/>
    <n v="46"/>
    <x v="0"/>
    <x v="2"/>
    <x v="2"/>
    <n v="500"/>
    <x v="3"/>
    <n v="7.5"/>
  </r>
  <r>
    <n v="639"/>
    <n v="13"/>
    <s v="May"/>
    <n v="5"/>
    <n v="2023"/>
    <d v="2023-05-13T00:00:00"/>
    <s v="CUST639"/>
    <x v="1"/>
    <n v="62"/>
    <x v="0"/>
    <x v="0"/>
    <x v="3"/>
    <n v="50"/>
    <x v="7"/>
    <n v="3"/>
  </r>
  <r>
    <n v="640"/>
    <n v="7"/>
    <s v="May"/>
    <n v="5"/>
    <n v="2023"/>
    <d v="2023-05-07T00:00:00"/>
    <s v="CUST640"/>
    <x v="1"/>
    <n v="51"/>
    <x v="0"/>
    <x v="2"/>
    <x v="3"/>
    <n v="30"/>
    <x v="10"/>
    <n v="1.7999999999999998"/>
  </r>
  <r>
    <n v="641"/>
    <n v="23"/>
    <s v="November"/>
    <n v="11"/>
    <n v="2023"/>
    <d v="2023-11-23T00:00:00"/>
    <s v="CUST641"/>
    <x v="1"/>
    <n v="40"/>
    <x v="0"/>
    <x v="2"/>
    <x v="2"/>
    <n v="300"/>
    <x v="13"/>
    <n v="4.5"/>
  </r>
  <r>
    <n v="642"/>
    <n v="22"/>
    <s v="May"/>
    <n v="5"/>
    <n v="2023"/>
    <d v="2023-05-22T00:00:00"/>
    <s v="CUST642"/>
    <x v="1"/>
    <n v="54"/>
    <x v="0"/>
    <x v="1"/>
    <x v="3"/>
    <n v="25"/>
    <x v="4"/>
    <n v="1.5"/>
  </r>
  <r>
    <n v="643"/>
    <n v="24"/>
    <s v="September"/>
    <n v="9"/>
    <n v="2023"/>
    <d v="2023-09-24T00:00:00"/>
    <s v="CUST643"/>
    <x v="1"/>
    <n v="28"/>
    <x v="0"/>
    <x v="2"/>
    <x v="0"/>
    <n v="30"/>
    <x v="15"/>
    <n v="1.3499999999999999"/>
  </r>
  <r>
    <n v="644"/>
    <n v="6"/>
    <s v="September"/>
    <n v="9"/>
    <n v="2023"/>
    <d v="2023-09-06T00:00:00"/>
    <s v="CUST644"/>
    <x v="0"/>
    <n v="23"/>
    <x v="0"/>
    <x v="0"/>
    <x v="0"/>
    <n v="25"/>
    <x v="8"/>
    <n v="1.125"/>
  </r>
  <r>
    <n v="645"/>
    <n v="17"/>
    <s v="November"/>
    <n v="11"/>
    <n v="2023"/>
    <d v="2023-11-17T00:00:00"/>
    <s v="CUST645"/>
    <x v="1"/>
    <n v="35"/>
    <x v="0"/>
    <x v="2"/>
    <x v="3"/>
    <n v="30"/>
    <x v="10"/>
    <n v="1.7999999999999998"/>
  </r>
  <r>
    <n v="646"/>
    <n v="3"/>
    <s v="May"/>
    <n v="5"/>
    <n v="2023"/>
    <d v="2023-05-03T00:00:00"/>
    <s v="CUST646"/>
    <x v="0"/>
    <n v="38"/>
    <x v="0"/>
    <x v="1"/>
    <x v="0"/>
    <n v="30"/>
    <x v="15"/>
    <n v="1.3499999999999999"/>
  </r>
  <r>
    <n v="647"/>
    <n v="21"/>
    <s v="May"/>
    <n v="5"/>
    <n v="2023"/>
    <d v="2023-05-21T00:00:00"/>
    <s v="CUST647"/>
    <x v="0"/>
    <n v="59"/>
    <x v="0"/>
    <x v="1"/>
    <x v="0"/>
    <n v="500"/>
    <x v="9"/>
    <n v="22.5"/>
  </r>
  <r>
    <n v="648"/>
    <n v="14"/>
    <s v="August"/>
    <n v="8"/>
    <n v="2023"/>
    <d v="2023-08-14T00:00:00"/>
    <s v="CUST648"/>
    <x v="0"/>
    <n v="53"/>
    <x v="0"/>
    <x v="0"/>
    <x v="3"/>
    <n v="300"/>
    <x v="14"/>
    <n v="18"/>
  </r>
  <r>
    <n v="649"/>
    <n v="9"/>
    <s v="February"/>
    <n v="2"/>
    <n v="2023"/>
    <d v="2023-02-09T00:00:00"/>
    <s v="CUST649"/>
    <x v="1"/>
    <n v="58"/>
    <x v="0"/>
    <x v="1"/>
    <x v="1"/>
    <n v="300"/>
    <x v="6"/>
    <n v="9"/>
  </r>
  <r>
    <n v="650"/>
    <n v="1"/>
    <s v="January"/>
    <n v="1"/>
    <n v="2024"/>
    <d v="2024-01-01T00:00:00"/>
    <s v="CUST650"/>
    <x v="0"/>
    <n v="55"/>
    <x v="0"/>
    <x v="2"/>
    <x v="2"/>
    <n v="30"/>
    <x v="2"/>
    <n v="0.44999999999999996"/>
  </r>
  <r>
    <n v="651"/>
    <n v="27"/>
    <s v="May"/>
    <n v="5"/>
    <n v="2023"/>
    <d v="2023-05-27T00:00:00"/>
    <s v="CUST651"/>
    <x v="0"/>
    <n v="51"/>
    <x v="0"/>
    <x v="1"/>
    <x v="0"/>
    <n v="50"/>
    <x v="0"/>
    <n v="2.25"/>
  </r>
  <r>
    <n v="652"/>
    <n v="1"/>
    <s v="May"/>
    <n v="5"/>
    <n v="2023"/>
    <d v="2023-05-01T00:00:00"/>
    <s v="CUST652"/>
    <x v="1"/>
    <n v="34"/>
    <x v="0"/>
    <x v="0"/>
    <x v="1"/>
    <n v="50"/>
    <x v="4"/>
    <n v="1.5"/>
  </r>
  <r>
    <n v="653"/>
    <n v="20"/>
    <s v="May"/>
    <n v="5"/>
    <n v="2023"/>
    <d v="2023-05-20T00:00:00"/>
    <s v="CUST653"/>
    <x v="0"/>
    <n v="54"/>
    <x v="0"/>
    <x v="1"/>
    <x v="0"/>
    <n v="25"/>
    <x v="8"/>
    <n v="1.125"/>
  </r>
  <r>
    <n v="654"/>
    <n v="21"/>
    <s v="June"/>
    <n v="6"/>
    <n v="2023"/>
    <d v="2023-06-21T00:00:00"/>
    <s v="CUST654"/>
    <x v="0"/>
    <n v="42"/>
    <x v="0"/>
    <x v="1"/>
    <x v="0"/>
    <n v="25"/>
    <x v="8"/>
    <n v="1.125"/>
  </r>
  <r>
    <n v="655"/>
    <n v="13"/>
    <s v="June"/>
    <n v="6"/>
    <n v="2023"/>
    <d v="2023-06-13T00:00:00"/>
    <s v="CUST655"/>
    <x v="1"/>
    <n v="55"/>
    <x v="0"/>
    <x v="1"/>
    <x v="2"/>
    <n v="500"/>
    <x v="3"/>
    <n v="7.5"/>
  </r>
  <r>
    <n v="656"/>
    <n v="4"/>
    <s v="October"/>
    <n v="10"/>
    <n v="2023"/>
    <d v="2023-10-04T00:00:00"/>
    <s v="CUST656"/>
    <x v="0"/>
    <n v="29"/>
    <x v="0"/>
    <x v="0"/>
    <x v="0"/>
    <n v="30"/>
    <x v="15"/>
    <n v="1.3499999999999999"/>
  </r>
  <r>
    <n v="657"/>
    <n v="11"/>
    <s v="February"/>
    <n v="2"/>
    <n v="2023"/>
    <d v="2023-02-11T00:00:00"/>
    <s v="CUST657"/>
    <x v="0"/>
    <n v="40"/>
    <x v="0"/>
    <x v="1"/>
    <x v="2"/>
    <n v="25"/>
    <x v="16"/>
    <n v="0.375"/>
  </r>
  <r>
    <n v="658"/>
    <n v="12"/>
    <s v="March"/>
    <n v="3"/>
    <n v="2023"/>
    <d v="2023-03-12T00:00:00"/>
    <s v="CUST658"/>
    <x v="0"/>
    <n v="59"/>
    <x v="0"/>
    <x v="1"/>
    <x v="2"/>
    <n v="25"/>
    <x v="16"/>
    <n v="0.375"/>
  </r>
  <r>
    <n v="659"/>
    <n v="19"/>
    <s v="March"/>
    <n v="3"/>
    <n v="2023"/>
    <d v="2023-03-19T00:00:00"/>
    <s v="CUST659"/>
    <x v="1"/>
    <n v="39"/>
    <x v="0"/>
    <x v="2"/>
    <x v="2"/>
    <n v="30"/>
    <x v="2"/>
    <n v="0.44999999999999996"/>
  </r>
  <r>
    <n v="660"/>
    <n v="29"/>
    <s v="April"/>
    <n v="4"/>
    <n v="2023"/>
    <d v="2023-04-29T00:00:00"/>
    <s v="CUST660"/>
    <x v="1"/>
    <n v="38"/>
    <x v="0"/>
    <x v="0"/>
    <x v="1"/>
    <n v="500"/>
    <x v="1"/>
    <n v="15"/>
  </r>
  <r>
    <n v="661"/>
    <n v="16"/>
    <s v="July"/>
    <n v="7"/>
    <n v="2023"/>
    <d v="2023-07-16T00:00:00"/>
    <s v="CUST661"/>
    <x v="1"/>
    <n v="44"/>
    <x v="0"/>
    <x v="1"/>
    <x v="3"/>
    <n v="25"/>
    <x v="4"/>
    <n v="1.5"/>
  </r>
  <r>
    <n v="662"/>
    <n v="22"/>
    <s v="December"/>
    <n v="12"/>
    <n v="2023"/>
    <d v="2023-12-22T00:00:00"/>
    <s v="CUST662"/>
    <x v="0"/>
    <n v="48"/>
    <x v="0"/>
    <x v="0"/>
    <x v="1"/>
    <n v="500"/>
    <x v="1"/>
    <n v="15"/>
  </r>
  <r>
    <n v="663"/>
    <n v="20"/>
    <s v="March"/>
    <n v="3"/>
    <n v="2023"/>
    <d v="2023-03-20T00:00:00"/>
    <s v="CUST663"/>
    <x v="0"/>
    <n v="23"/>
    <x v="0"/>
    <x v="1"/>
    <x v="3"/>
    <n v="300"/>
    <x v="14"/>
    <n v="18"/>
  </r>
  <r>
    <n v="664"/>
    <n v="28"/>
    <s v="December"/>
    <n v="12"/>
    <n v="2023"/>
    <d v="2023-12-28T00:00:00"/>
    <s v="CUST664"/>
    <x v="1"/>
    <n v="44"/>
    <x v="0"/>
    <x v="1"/>
    <x v="3"/>
    <n v="500"/>
    <x v="11"/>
    <n v="30"/>
  </r>
  <r>
    <n v="665"/>
    <n v="20"/>
    <s v="April"/>
    <n v="4"/>
    <n v="2023"/>
    <d v="2023-04-20T00:00:00"/>
    <s v="CUST665"/>
    <x v="0"/>
    <n v="57"/>
    <x v="0"/>
    <x v="1"/>
    <x v="2"/>
    <n v="50"/>
    <x v="5"/>
    <n v="0.75"/>
  </r>
  <r>
    <n v="666"/>
    <n v="2"/>
    <s v="February"/>
    <n v="2"/>
    <n v="2023"/>
    <d v="2023-02-02T00:00:00"/>
    <s v="CUST666"/>
    <x v="0"/>
    <n v="51"/>
    <x v="0"/>
    <x v="2"/>
    <x v="0"/>
    <n v="50"/>
    <x v="0"/>
    <n v="2.25"/>
  </r>
  <r>
    <n v="667"/>
    <n v="1"/>
    <s v="August"/>
    <n v="8"/>
    <n v="2023"/>
    <d v="2023-08-01T00:00:00"/>
    <s v="CUST667"/>
    <x v="1"/>
    <n v="29"/>
    <x v="0"/>
    <x v="2"/>
    <x v="2"/>
    <n v="500"/>
    <x v="3"/>
    <n v="7.5"/>
  </r>
  <r>
    <n v="668"/>
    <n v="28"/>
    <s v="July"/>
    <n v="7"/>
    <n v="2023"/>
    <d v="2023-07-28T00:00:00"/>
    <s v="CUST668"/>
    <x v="1"/>
    <n v="62"/>
    <x v="0"/>
    <x v="2"/>
    <x v="0"/>
    <n v="50"/>
    <x v="0"/>
    <n v="2.25"/>
  </r>
  <r>
    <n v="669"/>
    <n v="19"/>
    <s v="June"/>
    <n v="6"/>
    <n v="2023"/>
    <d v="2023-06-19T00:00:00"/>
    <s v="CUST669"/>
    <x v="0"/>
    <n v="24"/>
    <x v="0"/>
    <x v="0"/>
    <x v="3"/>
    <n v="300"/>
    <x v="14"/>
    <n v="18"/>
  </r>
  <r>
    <n v="670"/>
    <n v="5"/>
    <s v="October"/>
    <n v="10"/>
    <n v="2023"/>
    <d v="2023-10-05T00:00:00"/>
    <s v="CUST670"/>
    <x v="0"/>
    <n v="27"/>
    <x v="0"/>
    <x v="0"/>
    <x v="2"/>
    <n v="30"/>
    <x v="2"/>
    <n v="0.44999999999999996"/>
  </r>
  <r>
    <n v="671"/>
    <n v="27"/>
    <s v="August"/>
    <n v="8"/>
    <n v="2023"/>
    <d v="2023-08-27T00:00:00"/>
    <s v="CUST671"/>
    <x v="0"/>
    <n v="62"/>
    <x v="0"/>
    <x v="2"/>
    <x v="0"/>
    <n v="50"/>
    <x v="0"/>
    <n v="2.25"/>
  </r>
  <r>
    <n v="672"/>
    <n v="1"/>
    <s v="August"/>
    <n v="8"/>
    <n v="2023"/>
    <d v="2023-08-01T00:00:00"/>
    <s v="CUST672"/>
    <x v="1"/>
    <n v="34"/>
    <x v="0"/>
    <x v="0"/>
    <x v="1"/>
    <n v="50"/>
    <x v="4"/>
    <n v="1.5"/>
  </r>
  <r>
    <n v="673"/>
    <n v="1"/>
    <s v="February"/>
    <n v="2"/>
    <n v="2023"/>
    <d v="2023-02-01T00:00:00"/>
    <s v="CUST673"/>
    <x v="1"/>
    <n v="43"/>
    <x v="0"/>
    <x v="1"/>
    <x v="0"/>
    <n v="500"/>
    <x v="9"/>
    <n v="22.5"/>
  </r>
  <r>
    <n v="674"/>
    <n v="16"/>
    <s v="April"/>
    <n v="4"/>
    <n v="2023"/>
    <d v="2023-04-16T00:00:00"/>
    <s v="CUST674"/>
    <x v="1"/>
    <n v="38"/>
    <x v="0"/>
    <x v="1"/>
    <x v="2"/>
    <n v="300"/>
    <x v="13"/>
    <n v="4.5"/>
  </r>
  <r>
    <n v="675"/>
    <n v="4"/>
    <s v="August"/>
    <n v="8"/>
    <n v="2023"/>
    <d v="2023-08-04T00:00:00"/>
    <s v="CUST675"/>
    <x v="1"/>
    <n v="45"/>
    <x v="0"/>
    <x v="1"/>
    <x v="1"/>
    <n v="30"/>
    <x v="17"/>
    <n v="0.89999999999999991"/>
  </r>
  <r>
    <n v="676"/>
    <n v="19"/>
    <s v="July"/>
    <n v="7"/>
    <n v="2023"/>
    <d v="2023-07-19T00:00:00"/>
    <s v="CUST676"/>
    <x v="0"/>
    <n v="63"/>
    <x v="0"/>
    <x v="2"/>
    <x v="0"/>
    <n v="500"/>
    <x v="9"/>
    <n v="22.5"/>
  </r>
  <r>
    <n v="677"/>
    <n v="27"/>
    <s v="October"/>
    <n v="10"/>
    <n v="2023"/>
    <d v="2023-10-27T00:00:00"/>
    <s v="CUST677"/>
    <x v="1"/>
    <n v="19"/>
    <x v="0"/>
    <x v="0"/>
    <x v="0"/>
    <n v="500"/>
    <x v="9"/>
    <n v="22.5"/>
  </r>
  <r>
    <n v="678"/>
    <n v="23"/>
    <s v="December"/>
    <n v="12"/>
    <n v="2023"/>
    <d v="2023-12-23T00:00:00"/>
    <s v="CUST678"/>
    <x v="1"/>
    <n v="60"/>
    <x v="0"/>
    <x v="2"/>
    <x v="0"/>
    <n v="300"/>
    <x v="12"/>
    <n v="13.5"/>
  </r>
  <r>
    <n v="679"/>
    <n v="11"/>
    <s v="January"/>
    <n v="1"/>
    <n v="2023"/>
    <d v="2023-01-11T00:00:00"/>
    <s v="CUST679"/>
    <x v="1"/>
    <n v="18"/>
    <x v="0"/>
    <x v="0"/>
    <x v="0"/>
    <n v="30"/>
    <x v="15"/>
    <n v="1.3499999999999999"/>
  </r>
  <r>
    <n v="680"/>
    <n v="22"/>
    <s v="October"/>
    <n v="10"/>
    <n v="2023"/>
    <d v="2023-10-22T00:00:00"/>
    <s v="CUST680"/>
    <x v="1"/>
    <n v="53"/>
    <x v="0"/>
    <x v="1"/>
    <x v="0"/>
    <n v="300"/>
    <x v="12"/>
    <n v="13.5"/>
  </r>
  <r>
    <n v="681"/>
    <n v="14"/>
    <s v="July"/>
    <n v="7"/>
    <n v="2023"/>
    <d v="2023-07-14T00:00:00"/>
    <s v="CUST681"/>
    <x v="1"/>
    <n v="43"/>
    <x v="0"/>
    <x v="2"/>
    <x v="1"/>
    <n v="30"/>
    <x v="17"/>
    <n v="0.89999999999999991"/>
  </r>
  <r>
    <n v="682"/>
    <n v="2"/>
    <s v="September"/>
    <n v="9"/>
    <n v="2023"/>
    <d v="2023-09-02T00:00:00"/>
    <s v="CUST682"/>
    <x v="0"/>
    <n v="46"/>
    <x v="0"/>
    <x v="0"/>
    <x v="3"/>
    <n v="300"/>
    <x v="14"/>
    <n v="18"/>
  </r>
  <r>
    <n v="683"/>
    <n v="4"/>
    <s v="January"/>
    <n v="1"/>
    <n v="2023"/>
    <d v="2023-01-04T00:00:00"/>
    <s v="CUST683"/>
    <x v="0"/>
    <n v="38"/>
    <x v="0"/>
    <x v="0"/>
    <x v="1"/>
    <n v="500"/>
    <x v="1"/>
    <n v="15"/>
  </r>
  <r>
    <n v="684"/>
    <n v="30"/>
    <s v="June"/>
    <n v="6"/>
    <n v="2023"/>
    <d v="2023-06-30T00:00:00"/>
    <s v="CUST684"/>
    <x v="1"/>
    <n v="28"/>
    <x v="0"/>
    <x v="1"/>
    <x v="1"/>
    <n v="500"/>
    <x v="1"/>
    <n v="15"/>
  </r>
  <r>
    <n v="685"/>
    <n v="2"/>
    <s v="June"/>
    <n v="6"/>
    <n v="2023"/>
    <d v="2023-06-02T00:00:00"/>
    <s v="CUST685"/>
    <x v="0"/>
    <n v="57"/>
    <x v="0"/>
    <x v="2"/>
    <x v="1"/>
    <n v="25"/>
    <x v="5"/>
    <n v="0.75"/>
  </r>
  <r>
    <n v="686"/>
    <n v="19"/>
    <s v="July"/>
    <n v="7"/>
    <n v="2023"/>
    <d v="2023-07-19T00:00:00"/>
    <s v="CUST686"/>
    <x v="1"/>
    <n v="28"/>
    <x v="0"/>
    <x v="2"/>
    <x v="3"/>
    <n v="50"/>
    <x v="7"/>
    <n v="3"/>
  </r>
  <r>
    <n v="687"/>
    <n v="3"/>
    <s v="August"/>
    <n v="8"/>
    <n v="2023"/>
    <d v="2023-08-03T00:00:00"/>
    <s v="CUST687"/>
    <x v="1"/>
    <n v="53"/>
    <x v="0"/>
    <x v="2"/>
    <x v="2"/>
    <n v="300"/>
    <x v="13"/>
    <n v="4.5"/>
  </r>
  <r>
    <n v="688"/>
    <n v="3"/>
    <s v="October"/>
    <n v="10"/>
    <n v="2023"/>
    <d v="2023-10-03T00:00:00"/>
    <s v="CUST688"/>
    <x v="0"/>
    <n v="56"/>
    <x v="0"/>
    <x v="1"/>
    <x v="3"/>
    <n v="25"/>
    <x v="4"/>
    <n v="1.5"/>
  </r>
  <r>
    <n v="689"/>
    <n v="7"/>
    <s v="October"/>
    <n v="10"/>
    <n v="2023"/>
    <d v="2023-10-07T00:00:00"/>
    <s v="CUST689"/>
    <x v="0"/>
    <n v="57"/>
    <x v="0"/>
    <x v="2"/>
    <x v="1"/>
    <n v="50"/>
    <x v="4"/>
    <n v="1.5"/>
  </r>
  <r>
    <n v="690"/>
    <n v="5"/>
    <s v="November"/>
    <n v="11"/>
    <n v="2023"/>
    <d v="2023-11-05T00:00:00"/>
    <s v="CUST690"/>
    <x v="1"/>
    <n v="52"/>
    <x v="0"/>
    <x v="1"/>
    <x v="0"/>
    <n v="300"/>
    <x v="12"/>
    <n v="13.5"/>
  </r>
  <r>
    <n v="691"/>
    <n v="23"/>
    <s v="April"/>
    <n v="4"/>
    <n v="2023"/>
    <d v="2023-04-23T00:00:00"/>
    <s v="CUST691"/>
    <x v="1"/>
    <n v="51"/>
    <x v="0"/>
    <x v="1"/>
    <x v="0"/>
    <n v="30"/>
    <x v="15"/>
    <n v="1.3499999999999999"/>
  </r>
  <r>
    <n v="692"/>
    <n v="7"/>
    <s v="September"/>
    <n v="9"/>
    <n v="2023"/>
    <d v="2023-09-07T00:00:00"/>
    <s v="CUST692"/>
    <x v="1"/>
    <n v="64"/>
    <x v="0"/>
    <x v="1"/>
    <x v="1"/>
    <n v="50"/>
    <x v="4"/>
    <n v="1.5"/>
  </r>
  <r>
    <n v="693"/>
    <n v="23"/>
    <s v="April"/>
    <n v="4"/>
    <n v="2023"/>
    <d v="2023-04-23T00:00:00"/>
    <s v="CUST693"/>
    <x v="0"/>
    <n v="41"/>
    <x v="0"/>
    <x v="0"/>
    <x v="0"/>
    <n v="500"/>
    <x v="9"/>
    <n v="22.5"/>
  </r>
  <r>
    <n v="694"/>
    <n v="20"/>
    <s v="May"/>
    <n v="5"/>
    <n v="2023"/>
    <d v="2023-05-20T00:00:00"/>
    <s v="CUST694"/>
    <x v="1"/>
    <n v="39"/>
    <x v="0"/>
    <x v="2"/>
    <x v="1"/>
    <n v="25"/>
    <x v="5"/>
    <n v="0.75"/>
  </r>
  <r>
    <n v="695"/>
    <n v="12"/>
    <s v="August"/>
    <n v="8"/>
    <n v="2023"/>
    <d v="2023-08-12T00:00:00"/>
    <s v="CUST695"/>
    <x v="1"/>
    <n v="22"/>
    <x v="0"/>
    <x v="2"/>
    <x v="0"/>
    <n v="50"/>
    <x v="0"/>
    <n v="2.25"/>
  </r>
  <r>
    <n v="696"/>
    <n v="6"/>
    <s v="September"/>
    <n v="9"/>
    <n v="2023"/>
    <d v="2023-09-06T00:00:00"/>
    <s v="CUST696"/>
    <x v="1"/>
    <n v="50"/>
    <x v="0"/>
    <x v="1"/>
    <x v="3"/>
    <n v="50"/>
    <x v="7"/>
    <n v="3"/>
  </r>
  <r>
    <n v="697"/>
    <n v="15"/>
    <s v="January"/>
    <n v="1"/>
    <n v="2023"/>
    <d v="2023-01-15T00:00:00"/>
    <s v="CUST697"/>
    <x v="0"/>
    <n v="53"/>
    <x v="0"/>
    <x v="1"/>
    <x v="2"/>
    <n v="500"/>
    <x v="3"/>
    <n v="7.5"/>
  </r>
  <r>
    <n v="698"/>
    <n v="19"/>
    <s v="July"/>
    <n v="7"/>
    <n v="2023"/>
    <d v="2023-07-19T00:00:00"/>
    <s v="CUST698"/>
    <x v="1"/>
    <n v="64"/>
    <x v="0"/>
    <x v="2"/>
    <x v="2"/>
    <n v="300"/>
    <x v="13"/>
    <n v="4.5"/>
  </r>
  <r>
    <n v="699"/>
    <n v="22"/>
    <s v="June"/>
    <n v="6"/>
    <n v="2023"/>
    <d v="2023-06-22T00:00:00"/>
    <s v="CUST699"/>
    <x v="1"/>
    <n v="37"/>
    <x v="0"/>
    <x v="1"/>
    <x v="3"/>
    <n v="30"/>
    <x v="10"/>
    <n v="1.7999999999999998"/>
  </r>
  <r>
    <n v="700"/>
    <n v="9"/>
    <s v="December"/>
    <n v="12"/>
    <n v="2023"/>
    <d v="2023-12-09T00:00:00"/>
    <s v="CUST700"/>
    <x v="0"/>
    <n v="36"/>
    <x v="0"/>
    <x v="2"/>
    <x v="3"/>
    <n v="500"/>
    <x v="11"/>
    <n v="30"/>
  </r>
  <r>
    <n v="701"/>
    <n v="14"/>
    <s v="December"/>
    <n v="12"/>
    <n v="2023"/>
    <d v="2023-12-14T00:00:00"/>
    <s v="CUST701"/>
    <x v="1"/>
    <n v="52"/>
    <x v="0"/>
    <x v="0"/>
    <x v="1"/>
    <n v="30"/>
    <x v="17"/>
    <n v="0.89999999999999991"/>
  </r>
  <r>
    <n v="702"/>
    <n v="27"/>
    <s v="July"/>
    <n v="7"/>
    <n v="2023"/>
    <d v="2023-07-27T00:00:00"/>
    <s v="CUST702"/>
    <x v="1"/>
    <n v="60"/>
    <x v="0"/>
    <x v="1"/>
    <x v="1"/>
    <n v="300"/>
    <x v="6"/>
    <n v="9"/>
  </r>
  <r>
    <n v="703"/>
    <n v="26"/>
    <s v="March"/>
    <n v="3"/>
    <n v="2023"/>
    <d v="2023-03-26T00:00:00"/>
    <s v="CUST703"/>
    <x v="0"/>
    <n v="34"/>
    <x v="0"/>
    <x v="2"/>
    <x v="1"/>
    <n v="50"/>
    <x v="4"/>
    <n v="1.5"/>
  </r>
  <r>
    <n v="704"/>
    <n v="28"/>
    <s v="August"/>
    <n v="8"/>
    <n v="2023"/>
    <d v="2023-08-28T00:00:00"/>
    <s v="CUST704"/>
    <x v="1"/>
    <n v="62"/>
    <x v="0"/>
    <x v="1"/>
    <x v="0"/>
    <n v="30"/>
    <x v="15"/>
    <n v="1.3499999999999999"/>
  </r>
  <r>
    <n v="705"/>
    <n v="7"/>
    <s v="March"/>
    <n v="3"/>
    <n v="2023"/>
    <d v="2023-03-07T00:00:00"/>
    <s v="CUST705"/>
    <x v="0"/>
    <n v="60"/>
    <x v="0"/>
    <x v="2"/>
    <x v="1"/>
    <n v="25"/>
    <x v="5"/>
    <n v="0.75"/>
  </r>
  <r>
    <n v="706"/>
    <n v="15"/>
    <s v="November"/>
    <n v="11"/>
    <n v="2023"/>
    <d v="2023-11-15T00:00:00"/>
    <s v="CUST706"/>
    <x v="0"/>
    <n v="51"/>
    <x v="0"/>
    <x v="2"/>
    <x v="3"/>
    <n v="25"/>
    <x v="4"/>
    <n v="1.5"/>
  </r>
  <r>
    <n v="707"/>
    <n v="1"/>
    <s v="October"/>
    <n v="10"/>
    <n v="2023"/>
    <d v="2023-10-01T00:00:00"/>
    <s v="CUST707"/>
    <x v="1"/>
    <n v="26"/>
    <x v="0"/>
    <x v="1"/>
    <x v="2"/>
    <n v="500"/>
    <x v="3"/>
    <n v="7.5"/>
  </r>
  <r>
    <n v="708"/>
    <n v="14"/>
    <s v="January"/>
    <n v="1"/>
    <n v="2023"/>
    <d v="2023-01-14T00:00:00"/>
    <s v="CUST708"/>
    <x v="1"/>
    <n v="43"/>
    <x v="0"/>
    <x v="0"/>
    <x v="0"/>
    <n v="300"/>
    <x v="12"/>
    <n v="13.5"/>
  </r>
  <r>
    <n v="709"/>
    <n v="21"/>
    <s v="July"/>
    <n v="7"/>
    <n v="2023"/>
    <d v="2023-07-21T00:00:00"/>
    <s v="CUST709"/>
    <x v="1"/>
    <n v="19"/>
    <x v="0"/>
    <x v="2"/>
    <x v="1"/>
    <n v="500"/>
    <x v="1"/>
    <n v="15"/>
  </r>
  <r>
    <n v="710"/>
    <n v="31"/>
    <s v="October"/>
    <n v="10"/>
    <n v="2023"/>
    <d v="2023-10-31T00:00:00"/>
    <s v="CUST710"/>
    <x v="1"/>
    <n v="26"/>
    <x v="0"/>
    <x v="2"/>
    <x v="0"/>
    <n v="500"/>
    <x v="9"/>
    <n v="22.5"/>
  </r>
  <r>
    <n v="711"/>
    <n v="16"/>
    <s v="October"/>
    <n v="10"/>
    <n v="2023"/>
    <d v="2023-10-16T00:00:00"/>
    <s v="CUST711"/>
    <x v="0"/>
    <n v="26"/>
    <x v="0"/>
    <x v="2"/>
    <x v="0"/>
    <n v="500"/>
    <x v="9"/>
    <n v="22.5"/>
  </r>
  <r>
    <n v="712"/>
    <n v="6"/>
    <s v="December"/>
    <n v="12"/>
    <n v="2023"/>
    <d v="2023-12-06T00:00:00"/>
    <s v="CUST712"/>
    <x v="1"/>
    <n v="57"/>
    <x v="0"/>
    <x v="0"/>
    <x v="1"/>
    <n v="25"/>
    <x v="5"/>
    <n v="0.75"/>
  </r>
  <r>
    <n v="713"/>
    <n v="14"/>
    <s v="January"/>
    <n v="1"/>
    <n v="2023"/>
    <d v="2023-01-14T00:00:00"/>
    <s v="CUST713"/>
    <x v="0"/>
    <n v="34"/>
    <x v="0"/>
    <x v="0"/>
    <x v="0"/>
    <n v="25"/>
    <x v="8"/>
    <n v="1.125"/>
  </r>
  <r>
    <n v="714"/>
    <n v="12"/>
    <s v="February"/>
    <n v="2"/>
    <n v="2023"/>
    <d v="2023-02-12T00:00:00"/>
    <s v="CUST714"/>
    <x v="1"/>
    <n v="18"/>
    <x v="0"/>
    <x v="1"/>
    <x v="2"/>
    <n v="500"/>
    <x v="3"/>
    <n v="7.5"/>
  </r>
  <r>
    <n v="715"/>
    <n v="26"/>
    <s v="November"/>
    <n v="11"/>
    <n v="2023"/>
    <d v="2023-11-26T00:00:00"/>
    <s v="CUST715"/>
    <x v="1"/>
    <n v="42"/>
    <x v="0"/>
    <x v="0"/>
    <x v="3"/>
    <n v="25"/>
    <x v="4"/>
    <n v="1.5"/>
  </r>
  <r>
    <n v="716"/>
    <n v="8"/>
    <s v="August"/>
    <n v="8"/>
    <n v="2023"/>
    <d v="2023-08-08T00:00:00"/>
    <s v="CUST716"/>
    <x v="1"/>
    <n v="60"/>
    <x v="0"/>
    <x v="1"/>
    <x v="3"/>
    <n v="300"/>
    <x v="14"/>
    <n v="18"/>
  </r>
  <r>
    <n v="717"/>
    <n v="11"/>
    <s v="March"/>
    <n v="3"/>
    <n v="2023"/>
    <d v="2023-03-11T00:00:00"/>
    <s v="CUST717"/>
    <x v="0"/>
    <n v="57"/>
    <x v="0"/>
    <x v="1"/>
    <x v="2"/>
    <n v="500"/>
    <x v="3"/>
    <n v="7.5"/>
  </r>
  <r>
    <n v="718"/>
    <n v="25"/>
    <s v="August"/>
    <n v="8"/>
    <n v="2023"/>
    <d v="2023-08-25T00:00:00"/>
    <s v="CUST718"/>
    <x v="1"/>
    <n v="59"/>
    <x v="0"/>
    <x v="0"/>
    <x v="0"/>
    <n v="25"/>
    <x v="8"/>
    <n v="1.125"/>
  </r>
  <r>
    <n v="719"/>
    <n v="4"/>
    <s v="April"/>
    <n v="4"/>
    <n v="2023"/>
    <d v="2023-04-04T00:00:00"/>
    <s v="CUST719"/>
    <x v="1"/>
    <n v="42"/>
    <x v="0"/>
    <x v="1"/>
    <x v="1"/>
    <n v="30"/>
    <x v="17"/>
    <n v="0.89999999999999991"/>
  </r>
  <r>
    <n v="720"/>
    <n v="26"/>
    <s v="January"/>
    <n v="1"/>
    <n v="2023"/>
    <d v="2023-01-26T00:00:00"/>
    <s v="CUST720"/>
    <x v="1"/>
    <n v="56"/>
    <x v="0"/>
    <x v="0"/>
    <x v="0"/>
    <n v="500"/>
    <x v="9"/>
    <n v="22.5"/>
  </r>
  <r>
    <n v="721"/>
    <n v="14"/>
    <s v="May"/>
    <n v="5"/>
    <n v="2023"/>
    <d v="2023-05-14T00:00:00"/>
    <s v="CUST721"/>
    <x v="1"/>
    <n v="52"/>
    <x v="0"/>
    <x v="1"/>
    <x v="2"/>
    <n v="500"/>
    <x v="3"/>
    <n v="7.5"/>
  </r>
  <r>
    <n v="722"/>
    <n v="14"/>
    <s v="July"/>
    <n v="7"/>
    <n v="2023"/>
    <d v="2023-07-14T00:00:00"/>
    <s v="CUST722"/>
    <x v="0"/>
    <n v="20"/>
    <x v="0"/>
    <x v="0"/>
    <x v="0"/>
    <n v="300"/>
    <x v="12"/>
    <n v="13.5"/>
  </r>
  <r>
    <n v="723"/>
    <n v="17"/>
    <s v="June"/>
    <n v="6"/>
    <n v="2023"/>
    <d v="2023-06-17T00:00:00"/>
    <s v="CUST723"/>
    <x v="1"/>
    <n v="54"/>
    <x v="0"/>
    <x v="0"/>
    <x v="3"/>
    <n v="50"/>
    <x v="7"/>
    <n v="3"/>
  </r>
  <r>
    <n v="724"/>
    <n v="19"/>
    <s v="April"/>
    <n v="4"/>
    <n v="2023"/>
    <d v="2023-04-19T00:00:00"/>
    <s v="CUST724"/>
    <x v="0"/>
    <n v="61"/>
    <x v="0"/>
    <x v="1"/>
    <x v="0"/>
    <n v="50"/>
    <x v="0"/>
    <n v="2.25"/>
  </r>
  <r>
    <n v="725"/>
    <n v="21"/>
    <s v="August"/>
    <n v="8"/>
    <n v="2023"/>
    <d v="2023-08-21T00:00:00"/>
    <s v="CUST725"/>
    <x v="0"/>
    <n v="61"/>
    <x v="0"/>
    <x v="2"/>
    <x v="2"/>
    <n v="300"/>
    <x v="13"/>
    <n v="4.5"/>
  </r>
  <r>
    <n v="726"/>
    <n v="17"/>
    <s v="June"/>
    <n v="6"/>
    <n v="2023"/>
    <d v="2023-06-17T00:00:00"/>
    <s v="CUST726"/>
    <x v="0"/>
    <n v="47"/>
    <x v="0"/>
    <x v="1"/>
    <x v="3"/>
    <n v="300"/>
    <x v="14"/>
    <n v="18"/>
  </r>
  <r>
    <n v="727"/>
    <n v="22"/>
    <s v="June"/>
    <n v="6"/>
    <n v="2023"/>
    <d v="2023-06-22T00:00:00"/>
    <s v="CUST727"/>
    <x v="0"/>
    <n v="55"/>
    <x v="0"/>
    <x v="0"/>
    <x v="0"/>
    <n v="300"/>
    <x v="12"/>
    <n v="13.5"/>
  </r>
  <r>
    <n v="728"/>
    <n v="14"/>
    <s v="July"/>
    <n v="7"/>
    <n v="2023"/>
    <d v="2023-07-14T00:00:00"/>
    <s v="CUST728"/>
    <x v="0"/>
    <n v="51"/>
    <x v="0"/>
    <x v="2"/>
    <x v="0"/>
    <n v="50"/>
    <x v="0"/>
    <n v="2.25"/>
  </r>
  <r>
    <n v="729"/>
    <n v="23"/>
    <s v="May"/>
    <n v="5"/>
    <n v="2023"/>
    <d v="2023-05-23T00:00:00"/>
    <s v="CUST729"/>
    <x v="0"/>
    <n v="29"/>
    <x v="0"/>
    <x v="1"/>
    <x v="3"/>
    <n v="300"/>
    <x v="14"/>
    <n v="18"/>
  </r>
  <r>
    <n v="730"/>
    <n v="4"/>
    <s v="August"/>
    <n v="8"/>
    <n v="2023"/>
    <d v="2023-08-04T00:00:00"/>
    <s v="CUST730"/>
    <x v="1"/>
    <n v="36"/>
    <x v="0"/>
    <x v="1"/>
    <x v="1"/>
    <n v="25"/>
    <x v="5"/>
    <n v="0.75"/>
  </r>
  <r>
    <n v="731"/>
    <n v="10"/>
    <s v="May"/>
    <n v="5"/>
    <n v="2023"/>
    <d v="2023-05-10T00:00:00"/>
    <s v="CUST731"/>
    <x v="0"/>
    <n v="54"/>
    <x v="0"/>
    <x v="1"/>
    <x v="3"/>
    <n v="500"/>
    <x v="11"/>
    <n v="30"/>
  </r>
  <r>
    <n v="732"/>
    <n v="11"/>
    <s v="February"/>
    <n v="2"/>
    <n v="2023"/>
    <d v="2023-02-11T00:00:00"/>
    <s v="CUST732"/>
    <x v="0"/>
    <n v="61"/>
    <x v="0"/>
    <x v="2"/>
    <x v="1"/>
    <n v="500"/>
    <x v="1"/>
    <n v="15"/>
  </r>
  <r>
    <n v="733"/>
    <n v="29"/>
    <s v="August"/>
    <n v="8"/>
    <n v="2023"/>
    <d v="2023-08-29T00:00:00"/>
    <s v="CUST733"/>
    <x v="0"/>
    <n v="34"/>
    <x v="0"/>
    <x v="0"/>
    <x v="2"/>
    <n v="30"/>
    <x v="2"/>
    <n v="0.44999999999999996"/>
  </r>
  <r>
    <n v="734"/>
    <n v="10"/>
    <s v="January"/>
    <n v="1"/>
    <n v="2023"/>
    <d v="2023-01-10T00:00:00"/>
    <s v="CUST734"/>
    <x v="1"/>
    <n v="27"/>
    <x v="0"/>
    <x v="1"/>
    <x v="2"/>
    <n v="30"/>
    <x v="2"/>
    <n v="0.44999999999999996"/>
  </r>
  <r>
    <n v="735"/>
    <n v="4"/>
    <s v="October"/>
    <n v="10"/>
    <n v="2023"/>
    <d v="2023-10-04T00:00:00"/>
    <s v="CUST735"/>
    <x v="1"/>
    <n v="64"/>
    <x v="0"/>
    <x v="1"/>
    <x v="3"/>
    <n v="500"/>
    <x v="11"/>
    <n v="30"/>
  </r>
  <r>
    <n v="736"/>
    <n v="27"/>
    <s v="January"/>
    <n v="1"/>
    <n v="2023"/>
    <d v="2023-01-27T00:00:00"/>
    <s v="CUST736"/>
    <x v="0"/>
    <n v="29"/>
    <x v="0"/>
    <x v="1"/>
    <x v="3"/>
    <n v="25"/>
    <x v="4"/>
    <n v="1.5"/>
  </r>
  <r>
    <n v="737"/>
    <n v="29"/>
    <s v="June"/>
    <n v="6"/>
    <n v="2023"/>
    <d v="2023-06-29T00:00:00"/>
    <s v="CUST737"/>
    <x v="1"/>
    <n v="33"/>
    <x v="0"/>
    <x v="1"/>
    <x v="2"/>
    <n v="50"/>
    <x v="5"/>
    <n v="0.75"/>
  </r>
  <r>
    <n v="738"/>
    <n v="25"/>
    <s v="April"/>
    <n v="4"/>
    <n v="2023"/>
    <d v="2023-04-25T00:00:00"/>
    <s v="CUST738"/>
    <x v="0"/>
    <n v="41"/>
    <x v="0"/>
    <x v="1"/>
    <x v="1"/>
    <n v="50"/>
    <x v="4"/>
    <n v="1.5"/>
  </r>
  <r>
    <n v="739"/>
    <n v="29"/>
    <s v="November"/>
    <n v="11"/>
    <n v="2023"/>
    <d v="2023-11-29T00:00:00"/>
    <s v="CUST739"/>
    <x v="0"/>
    <n v="36"/>
    <x v="0"/>
    <x v="0"/>
    <x v="2"/>
    <n v="25"/>
    <x v="16"/>
    <n v="0.375"/>
  </r>
  <r>
    <n v="740"/>
    <n v="5"/>
    <s v="February"/>
    <n v="2"/>
    <n v="2023"/>
    <d v="2023-02-05T00:00:00"/>
    <s v="CUST740"/>
    <x v="1"/>
    <n v="25"/>
    <x v="0"/>
    <x v="0"/>
    <x v="3"/>
    <n v="50"/>
    <x v="7"/>
    <n v="3"/>
  </r>
  <r>
    <n v="741"/>
    <n v="30"/>
    <s v="November"/>
    <n v="11"/>
    <n v="2023"/>
    <d v="2023-11-30T00:00:00"/>
    <s v="CUST741"/>
    <x v="0"/>
    <n v="48"/>
    <x v="0"/>
    <x v="1"/>
    <x v="2"/>
    <n v="300"/>
    <x v="13"/>
    <n v="4.5"/>
  </r>
  <r>
    <n v="742"/>
    <n v="21"/>
    <s v="January"/>
    <n v="1"/>
    <n v="2023"/>
    <d v="2023-01-21T00:00:00"/>
    <s v="CUST742"/>
    <x v="1"/>
    <n v="38"/>
    <x v="0"/>
    <x v="2"/>
    <x v="3"/>
    <n v="500"/>
    <x v="11"/>
    <n v="30"/>
  </r>
  <r>
    <n v="743"/>
    <n v="16"/>
    <s v="January"/>
    <n v="1"/>
    <n v="2023"/>
    <d v="2023-01-16T00:00:00"/>
    <s v="CUST743"/>
    <x v="1"/>
    <n v="34"/>
    <x v="0"/>
    <x v="0"/>
    <x v="3"/>
    <n v="500"/>
    <x v="11"/>
    <n v="30"/>
  </r>
  <r>
    <n v="744"/>
    <n v="7"/>
    <s v="May"/>
    <n v="5"/>
    <n v="2023"/>
    <d v="2023-05-07T00:00:00"/>
    <s v="CUST744"/>
    <x v="0"/>
    <n v="40"/>
    <x v="0"/>
    <x v="2"/>
    <x v="2"/>
    <n v="25"/>
    <x v="16"/>
    <n v="0.375"/>
  </r>
  <r>
    <n v="745"/>
    <n v="13"/>
    <s v="April"/>
    <n v="4"/>
    <n v="2023"/>
    <d v="2023-04-13T00:00:00"/>
    <s v="CUST745"/>
    <x v="0"/>
    <n v="54"/>
    <x v="0"/>
    <x v="0"/>
    <x v="1"/>
    <n v="50"/>
    <x v="4"/>
    <n v="1.5"/>
  </r>
  <r>
    <n v="746"/>
    <n v="11"/>
    <s v="January"/>
    <n v="1"/>
    <n v="2023"/>
    <d v="2023-01-11T00:00:00"/>
    <s v="CUST746"/>
    <x v="1"/>
    <n v="33"/>
    <x v="0"/>
    <x v="1"/>
    <x v="0"/>
    <n v="30"/>
    <x v="15"/>
    <n v="1.3499999999999999"/>
  </r>
  <r>
    <n v="747"/>
    <n v="15"/>
    <s v="November"/>
    <n v="11"/>
    <n v="2023"/>
    <d v="2023-11-15T00:00:00"/>
    <s v="CUST747"/>
    <x v="0"/>
    <n v="23"/>
    <x v="0"/>
    <x v="0"/>
    <x v="2"/>
    <n v="30"/>
    <x v="2"/>
    <n v="0.44999999999999996"/>
  </r>
  <r>
    <n v="748"/>
    <n v="20"/>
    <s v="March"/>
    <n v="3"/>
    <n v="2023"/>
    <d v="2023-03-20T00:00:00"/>
    <s v="CUST748"/>
    <x v="0"/>
    <n v="25"/>
    <x v="0"/>
    <x v="1"/>
    <x v="0"/>
    <n v="50"/>
    <x v="0"/>
    <n v="2.25"/>
  </r>
  <r>
    <n v="749"/>
    <n v="3"/>
    <s v="May"/>
    <n v="5"/>
    <n v="2023"/>
    <d v="2023-05-03T00:00:00"/>
    <s v="CUST749"/>
    <x v="0"/>
    <n v="42"/>
    <x v="0"/>
    <x v="0"/>
    <x v="2"/>
    <n v="30"/>
    <x v="2"/>
    <n v="0.44999999999999996"/>
  </r>
  <r>
    <n v="750"/>
    <n v="6"/>
    <s v="March"/>
    <n v="3"/>
    <n v="2023"/>
    <d v="2023-03-06T00:00:00"/>
    <s v="CUST750"/>
    <x v="1"/>
    <n v="35"/>
    <x v="0"/>
    <x v="1"/>
    <x v="0"/>
    <n v="25"/>
    <x v="8"/>
    <n v="1.125"/>
  </r>
  <r>
    <n v="751"/>
    <n v="31"/>
    <s v="August"/>
    <n v="8"/>
    <n v="2023"/>
    <d v="2023-08-31T00:00:00"/>
    <s v="CUST751"/>
    <x v="1"/>
    <n v="42"/>
    <x v="0"/>
    <x v="1"/>
    <x v="1"/>
    <n v="25"/>
    <x v="5"/>
    <n v="0.75"/>
  </r>
  <r>
    <n v="752"/>
    <n v="9"/>
    <s v="December"/>
    <n v="12"/>
    <n v="2023"/>
    <d v="2023-12-09T00:00:00"/>
    <s v="CUST752"/>
    <x v="0"/>
    <n v="29"/>
    <x v="0"/>
    <x v="1"/>
    <x v="1"/>
    <n v="50"/>
    <x v="4"/>
    <n v="1.5"/>
  </r>
  <r>
    <n v="753"/>
    <n v="28"/>
    <s v="February"/>
    <n v="2"/>
    <n v="2023"/>
    <d v="2023-02-28T00:00:00"/>
    <s v="CUST753"/>
    <x v="1"/>
    <n v="32"/>
    <x v="0"/>
    <x v="1"/>
    <x v="2"/>
    <n v="30"/>
    <x v="2"/>
    <n v="0.44999999999999996"/>
  </r>
  <r>
    <n v="754"/>
    <n v="16"/>
    <s v="October"/>
    <n v="10"/>
    <n v="2023"/>
    <d v="2023-10-16T00:00:00"/>
    <s v="CUST754"/>
    <x v="1"/>
    <n v="43"/>
    <x v="0"/>
    <x v="2"/>
    <x v="3"/>
    <n v="25"/>
    <x v="4"/>
    <n v="1.5"/>
  </r>
  <r>
    <n v="755"/>
    <n v="22"/>
    <s v="April"/>
    <n v="4"/>
    <n v="2023"/>
    <d v="2023-04-22T00:00:00"/>
    <s v="CUST755"/>
    <x v="1"/>
    <n v="58"/>
    <x v="0"/>
    <x v="1"/>
    <x v="0"/>
    <n v="25"/>
    <x v="8"/>
    <n v="1.125"/>
  </r>
  <r>
    <n v="756"/>
    <n v="27"/>
    <s v="August"/>
    <n v="8"/>
    <n v="2023"/>
    <d v="2023-08-27T00:00:00"/>
    <s v="CUST756"/>
    <x v="1"/>
    <n v="62"/>
    <x v="0"/>
    <x v="2"/>
    <x v="3"/>
    <n v="300"/>
    <x v="14"/>
    <n v="18"/>
  </r>
  <r>
    <n v="757"/>
    <n v="25"/>
    <s v="December"/>
    <n v="12"/>
    <n v="2023"/>
    <d v="2023-12-25T00:00:00"/>
    <s v="CUST757"/>
    <x v="1"/>
    <n v="43"/>
    <x v="0"/>
    <x v="2"/>
    <x v="3"/>
    <n v="300"/>
    <x v="14"/>
    <n v="18"/>
  </r>
  <r>
    <n v="758"/>
    <n v="12"/>
    <s v="May"/>
    <n v="5"/>
    <n v="2023"/>
    <d v="2023-05-12T00:00:00"/>
    <s v="CUST758"/>
    <x v="0"/>
    <n v="64"/>
    <x v="0"/>
    <x v="1"/>
    <x v="3"/>
    <n v="25"/>
    <x v="4"/>
    <n v="1.5"/>
  </r>
  <r>
    <n v="759"/>
    <n v="8"/>
    <s v="July"/>
    <n v="7"/>
    <n v="2023"/>
    <d v="2023-07-08T00:00:00"/>
    <s v="CUST759"/>
    <x v="0"/>
    <n v="49"/>
    <x v="0"/>
    <x v="2"/>
    <x v="1"/>
    <n v="50"/>
    <x v="4"/>
    <n v="1.5"/>
  </r>
  <r>
    <n v="760"/>
    <n v="27"/>
    <s v="March"/>
    <n v="3"/>
    <n v="2023"/>
    <d v="2023-03-27T00:00:00"/>
    <s v="CUST760"/>
    <x v="0"/>
    <n v="27"/>
    <x v="0"/>
    <x v="0"/>
    <x v="2"/>
    <n v="500"/>
    <x v="3"/>
    <n v="7.5"/>
  </r>
  <r>
    <n v="761"/>
    <n v="7"/>
    <s v="November"/>
    <n v="11"/>
    <n v="2023"/>
    <d v="2023-11-07T00:00:00"/>
    <s v="CUST761"/>
    <x v="1"/>
    <n v="33"/>
    <x v="0"/>
    <x v="1"/>
    <x v="2"/>
    <n v="500"/>
    <x v="3"/>
    <n v="7.5"/>
  </r>
  <r>
    <n v="762"/>
    <n v="7"/>
    <s v="November"/>
    <n v="11"/>
    <n v="2023"/>
    <d v="2023-11-07T00:00:00"/>
    <s v="CUST762"/>
    <x v="1"/>
    <n v="24"/>
    <x v="0"/>
    <x v="2"/>
    <x v="1"/>
    <n v="25"/>
    <x v="5"/>
    <n v="0.75"/>
  </r>
  <r>
    <n v="763"/>
    <n v="28"/>
    <s v="February"/>
    <n v="2"/>
    <n v="2023"/>
    <d v="2023-02-28T00:00:00"/>
    <s v="CUST763"/>
    <x v="0"/>
    <n v="34"/>
    <x v="0"/>
    <x v="1"/>
    <x v="1"/>
    <n v="25"/>
    <x v="5"/>
    <n v="0.75"/>
  </r>
  <r>
    <n v="764"/>
    <n v="25"/>
    <s v="March"/>
    <n v="3"/>
    <n v="2023"/>
    <d v="2023-03-25T00:00:00"/>
    <s v="CUST764"/>
    <x v="1"/>
    <n v="40"/>
    <x v="0"/>
    <x v="1"/>
    <x v="2"/>
    <n v="25"/>
    <x v="16"/>
    <n v="0.375"/>
  </r>
  <r>
    <n v="765"/>
    <n v="9"/>
    <s v="June"/>
    <n v="6"/>
    <n v="2023"/>
    <d v="2023-06-09T00:00:00"/>
    <s v="CUST765"/>
    <x v="0"/>
    <n v="43"/>
    <x v="0"/>
    <x v="1"/>
    <x v="3"/>
    <n v="50"/>
    <x v="7"/>
    <n v="3"/>
  </r>
  <r>
    <n v="766"/>
    <n v="25"/>
    <s v="February"/>
    <n v="2"/>
    <n v="2023"/>
    <d v="2023-02-25T00:00:00"/>
    <s v="CUST766"/>
    <x v="0"/>
    <n v="38"/>
    <x v="0"/>
    <x v="2"/>
    <x v="0"/>
    <n v="300"/>
    <x v="12"/>
    <n v="13.5"/>
  </r>
  <r>
    <n v="767"/>
    <n v="24"/>
    <s v="October"/>
    <n v="10"/>
    <n v="2023"/>
    <d v="2023-10-24T00:00:00"/>
    <s v="CUST767"/>
    <x v="0"/>
    <n v="39"/>
    <x v="0"/>
    <x v="0"/>
    <x v="0"/>
    <n v="25"/>
    <x v="8"/>
    <n v="1.125"/>
  </r>
  <r>
    <n v="768"/>
    <n v="14"/>
    <s v="January"/>
    <n v="1"/>
    <n v="2023"/>
    <d v="2023-01-14T00:00:00"/>
    <s v="CUST768"/>
    <x v="1"/>
    <n v="24"/>
    <x v="0"/>
    <x v="0"/>
    <x v="0"/>
    <n v="25"/>
    <x v="8"/>
    <n v="1.125"/>
  </r>
  <r>
    <n v="769"/>
    <n v="9"/>
    <s v="June"/>
    <n v="6"/>
    <n v="2023"/>
    <d v="2023-06-09T00:00:00"/>
    <s v="CUST769"/>
    <x v="1"/>
    <n v="31"/>
    <x v="0"/>
    <x v="2"/>
    <x v="3"/>
    <n v="30"/>
    <x v="10"/>
    <n v="1.7999999999999998"/>
  </r>
  <r>
    <n v="770"/>
    <n v="22"/>
    <s v="October"/>
    <n v="10"/>
    <n v="2023"/>
    <d v="2023-10-22T00:00:00"/>
    <s v="CUST770"/>
    <x v="0"/>
    <n v="32"/>
    <x v="0"/>
    <x v="1"/>
    <x v="2"/>
    <n v="50"/>
    <x v="5"/>
    <n v="0.75"/>
  </r>
  <r>
    <n v="771"/>
    <n v="13"/>
    <s v="December"/>
    <n v="12"/>
    <n v="2023"/>
    <d v="2023-12-13T00:00:00"/>
    <s v="CUST771"/>
    <x v="0"/>
    <n v="24"/>
    <x v="0"/>
    <x v="2"/>
    <x v="1"/>
    <n v="25"/>
    <x v="5"/>
    <n v="0.75"/>
  </r>
  <r>
    <n v="772"/>
    <n v="12"/>
    <s v="July"/>
    <n v="7"/>
    <n v="2023"/>
    <d v="2023-07-12T00:00:00"/>
    <s v="CUST772"/>
    <x v="0"/>
    <n v="26"/>
    <x v="0"/>
    <x v="2"/>
    <x v="2"/>
    <n v="30"/>
    <x v="2"/>
    <n v="0.44999999999999996"/>
  </r>
  <r>
    <n v="773"/>
    <n v="23"/>
    <s v="July"/>
    <n v="7"/>
    <n v="2023"/>
    <d v="2023-07-23T00:00:00"/>
    <s v="CUST773"/>
    <x v="0"/>
    <n v="25"/>
    <x v="0"/>
    <x v="2"/>
    <x v="3"/>
    <n v="500"/>
    <x v="11"/>
    <n v="30"/>
  </r>
  <r>
    <n v="774"/>
    <n v="12"/>
    <s v="April"/>
    <n v="4"/>
    <n v="2023"/>
    <d v="2023-04-12T00:00:00"/>
    <s v="CUST774"/>
    <x v="1"/>
    <n v="40"/>
    <x v="0"/>
    <x v="1"/>
    <x v="1"/>
    <n v="25"/>
    <x v="5"/>
    <n v="0.75"/>
  </r>
  <r>
    <n v="775"/>
    <n v="8"/>
    <s v="February"/>
    <n v="2"/>
    <n v="2023"/>
    <d v="2023-02-08T00:00:00"/>
    <s v="CUST775"/>
    <x v="1"/>
    <n v="46"/>
    <x v="0"/>
    <x v="2"/>
    <x v="3"/>
    <n v="25"/>
    <x v="4"/>
    <n v="1.5"/>
  </r>
  <r>
    <n v="776"/>
    <n v="31"/>
    <s v="October"/>
    <n v="10"/>
    <n v="2023"/>
    <d v="2023-10-31T00:00:00"/>
    <s v="CUST776"/>
    <x v="0"/>
    <n v="35"/>
    <x v="0"/>
    <x v="1"/>
    <x v="0"/>
    <n v="30"/>
    <x v="15"/>
    <n v="1.3499999999999999"/>
  </r>
  <r>
    <n v="777"/>
    <n v="20"/>
    <s v="December"/>
    <n v="12"/>
    <n v="2023"/>
    <d v="2023-12-20T00:00:00"/>
    <s v="CUST777"/>
    <x v="0"/>
    <n v="48"/>
    <x v="0"/>
    <x v="2"/>
    <x v="0"/>
    <n v="50"/>
    <x v="0"/>
    <n v="2.25"/>
  </r>
  <r>
    <n v="778"/>
    <n v="18"/>
    <s v="November"/>
    <n v="11"/>
    <n v="2023"/>
    <d v="2023-11-18T00:00:00"/>
    <s v="CUST778"/>
    <x v="1"/>
    <n v="47"/>
    <x v="0"/>
    <x v="0"/>
    <x v="3"/>
    <n v="25"/>
    <x v="4"/>
    <n v="1.5"/>
  </r>
  <r>
    <n v="779"/>
    <n v="5"/>
    <s v="May"/>
    <n v="5"/>
    <n v="2023"/>
    <d v="2023-05-05T00:00:00"/>
    <s v="CUST779"/>
    <x v="1"/>
    <n v="56"/>
    <x v="0"/>
    <x v="2"/>
    <x v="1"/>
    <n v="500"/>
    <x v="1"/>
    <n v="15"/>
  </r>
  <r>
    <n v="780"/>
    <n v="22"/>
    <s v="February"/>
    <n v="2"/>
    <n v="2023"/>
    <d v="2023-02-22T00:00:00"/>
    <s v="CUST780"/>
    <x v="0"/>
    <n v="52"/>
    <x v="0"/>
    <x v="2"/>
    <x v="1"/>
    <n v="25"/>
    <x v="5"/>
    <n v="0.75"/>
  </r>
  <r>
    <n v="781"/>
    <n v="23"/>
    <s v="December"/>
    <n v="12"/>
    <n v="2023"/>
    <d v="2023-12-23T00:00:00"/>
    <s v="CUST781"/>
    <x v="0"/>
    <n v="35"/>
    <x v="0"/>
    <x v="0"/>
    <x v="2"/>
    <n v="500"/>
    <x v="3"/>
    <n v="7.5"/>
  </r>
  <r>
    <n v="782"/>
    <n v="4"/>
    <s v="June"/>
    <n v="6"/>
    <n v="2023"/>
    <d v="2023-06-04T00:00:00"/>
    <s v="CUST782"/>
    <x v="0"/>
    <n v="59"/>
    <x v="0"/>
    <x v="1"/>
    <x v="0"/>
    <n v="300"/>
    <x v="12"/>
    <n v="13.5"/>
  </r>
  <r>
    <n v="783"/>
    <n v="17"/>
    <s v="December"/>
    <n v="12"/>
    <n v="2023"/>
    <d v="2023-12-17T00:00:00"/>
    <s v="CUST783"/>
    <x v="1"/>
    <n v="56"/>
    <x v="0"/>
    <x v="1"/>
    <x v="2"/>
    <n v="300"/>
    <x v="13"/>
    <n v="4.5"/>
  </r>
  <r>
    <n v="784"/>
    <n v="4"/>
    <s v="November"/>
    <n v="11"/>
    <n v="2023"/>
    <d v="2023-11-04T00:00:00"/>
    <s v="CUST784"/>
    <x v="1"/>
    <n v="34"/>
    <x v="0"/>
    <x v="2"/>
    <x v="2"/>
    <n v="500"/>
    <x v="3"/>
    <n v="7.5"/>
  </r>
  <r>
    <n v="785"/>
    <n v="3"/>
    <s v="March"/>
    <n v="3"/>
    <n v="2023"/>
    <d v="2023-03-03T00:00:00"/>
    <s v="CUST785"/>
    <x v="1"/>
    <n v="31"/>
    <x v="0"/>
    <x v="0"/>
    <x v="3"/>
    <n v="50"/>
    <x v="7"/>
    <n v="3"/>
  </r>
  <r>
    <n v="786"/>
    <n v="17"/>
    <s v="October"/>
    <n v="10"/>
    <n v="2023"/>
    <d v="2023-10-17T00:00:00"/>
    <s v="CUST786"/>
    <x v="0"/>
    <n v="48"/>
    <x v="0"/>
    <x v="1"/>
    <x v="3"/>
    <n v="25"/>
    <x v="4"/>
    <n v="1.5"/>
  </r>
  <r>
    <n v="787"/>
    <n v="22"/>
    <s v="January"/>
    <n v="1"/>
    <n v="2023"/>
    <d v="2023-01-22T00:00:00"/>
    <s v="CUST787"/>
    <x v="0"/>
    <n v="41"/>
    <x v="0"/>
    <x v="2"/>
    <x v="2"/>
    <n v="25"/>
    <x v="16"/>
    <n v="0.375"/>
  </r>
  <r>
    <n v="788"/>
    <n v="27"/>
    <s v="June"/>
    <n v="6"/>
    <n v="2023"/>
    <d v="2023-06-27T00:00:00"/>
    <s v="CUST788"/>
    <x v="1"/>
    <n v="52"/>
    <x v="0"/>
    <x v="0"/>
    <x v="0"/>
    <n v="300"/>
    <x v="12"/>
    <n v="13.5"/>
  </r>
  <r>
    <n v="789"/>
    <n v="30"/>
    <s v="September"/>
    <n v="9"/>
    <n v="2023"/>
    <d v="2023-09-30T00:00:00"/>
    <s v="CUST789"/>
    <x v="1"/>
    <n v="61"/>
    <x v="0"/>
    <x v="1"/>
    <x v="3"/>
    <n v="500"/>
    <x v="11"/>
    <n v="30"/>
  </r>
  <r>
    <n v="790"/>
    <n v="8"/>
    <s v="August"/>
    <n v="8"/>
    <n v="2023"/>
    <d v="2023-08-08T00:00:00"/>
    <s v="CUST790"/>
    <x v="0"/>
    <n v="62"/>
    <x v="0"/>
    <x v="1"/>
    <x v="2"/>
    <n v="25"/>
    <x v="16"/>
    <n v="0.375"/>
  </r>
  <r>
    <n v="791"/>
    <n v="5"/>
    <s v="December"/>
    <n v="12"/>
    <n v="2023"/>
    <d v="2023-12-05T00:00:00"/>
    <s v="CUST791"/>
    <x v="1"/>
    <n v="51"/>
    <x v="0"/>
    <x v="0"/>
    <x v="2"/>
    <n v="25"/>
    <x v="16"/>
    <n v="0.375"/>
  </r>
  <r>
    <n v="792"/>
    <n v="9"/>
    <s v="July"/>
    <n v="7"/>
    <n v="2023"/>
    <d v="2023-07-09T00:00:00"/>
    <s v="CUST792"/>
    <x v="1"/>
    <n v="20"/>
    <x v="0"/>
    <x v="0"/>
    <x v="2"/>
    <n v="50"/>
    <x v="5"/>
    <n v="0.75"/>
  </r>
  <r>
    <n v="793"/>
    <n v="5"/>
    <s v="February"/>
    <n v="2"/>
    <n v="2023"/>
    <d v="2023-02-05T00:00:00"/>
    <s v="CUST793"/>
    <x v="0"/>
    <n v="54"/>
    <x v="0"/>
    <x v="0"/>
    <x v="2"/>
    <n v="30"/>
    <x v="2"/>
    <n v="0.44999999999999996"/>
  </r>
  <r>
    <n v="794"/>
    <n v="17"/>
    <s v="September"/>
    <n v="9"/>
    <n v="2023"/>
    <d v="2023-09-17T00:00:00"/>
    <s v="CUST794"/>
    <x v="1"/>
    <n v="60"/>
    <x v="0"/>
    <x v="0"/>
    <x v="2"/>
    <n v="300"/>
    <x v="13"/>
    <n v="4.5"/>
  </r>
  <r>
    <n v="795"/>
    <n v="28"/>
    <s v="November"/>
    <n v="11"/>
    <n v="2023"/>
    <d v="2023-11-28T00:00:00"/>
    <s v="CUST795"/>
    <x v="0"/>
    <n v="57"/>
    <x v="0"/>
    <x v="2"/>
    <x v="2"/>
    <n v="300"/>
    <x v="13"/>
    <n v="4.5"/>
  </r>
  <r>
    <n v="796"/>
    <n v="24"/>
    <s v="June"/>
    <n v="6"/>
    <n v="2023"/>
    <d v="2023-06-24T00:00:00"/>
    <s v="CUST796"/>
    <x v="0"/>
    <n v="43"/>
    <x v="0"/>
    <x v="0"/>
    <x v="3"/>
    <n v="30"/>
    <x v="10"/>
    <n v="1.7999999999999998"/>
  </r>
  <r>
    <n v="797"/>
    <n v="7"/>
    <s v="January"/>
    <n v="1"/>
    <n v="2023"/>
    <d v="2023-01-07T00:00:00"/>
    <s v="CUST797"/>
    <x v="0"/>
    <n v="40"/>
    <x v="0"/>
    <x v="1"/>
    <x v="0"/>
    <n v="25"/>
    <x v="8"/>
    <n v="1.125"/>
  </r>
  <r>
    <n v="798"/>
    <n v="4"/>
    <s v="August"/>
    <n v="8"/>
    <n v="2023"/>
    <d v="2023-08-04T00:00:00"/>
    <s v="CUST798"/>
    <x v="0"/>
    <n v="61"/>
    <x v="0"/>
    <x v="1"/>
    <x v="2"/>
    <n v="50"/>
    <x v="5"/>
    <n v="0.75"/>
  </r>
  <r>
    <n v="799"/>
    <n v="8"/>
    <s v="September"/>
    <n v="9"/>
    <n v="2023"/>
    <d v="2023-09-08T00:00:00"/>
    <s v="CUST799"/>
    <x v="0"/>
    <n v="56"/>
    <x v="0"/>
    <x v="2"/>
    <x v="1"/>
    <n v="50"/>
    <x v="4"/>
    <n v="1.5"/>
  </r>
  <r>
    <n v="800"/>
    <n v="24"/>
    <s v="February"/>
    <n v="2"/>
    <n v="2023"/>
    <d v="2023-02-24T00:00:00"/>
    <s v="CUST800"/>
    <x v="0"/>
    <n v="32"/>
    <x v="0"/>
    <x v="1"/>
    <x v="3"/>
    <n v="300"/>
    <x v="14"/>
    <n v="18"/>
  </r>
  <r>
    <n v="801"/>
    <n v="10"/>
    <s v="August"/>
    <n v="8"/>
    <n v="2023"/>
    <d v="2023-08-10T00:00:00"/>
    <s v="CUST801"/>
    <x v="0"/>
    <n v="21"/>
    <x v="0"/>
    <x v="1"/>
    <x v="3"/>
    <n v="50"/>
    <x v="7"/>
    <n v="3"/>
  </r>
  <r>
    <n v="802"/>
    <n v="5"/>
    <s v="July"/>
    <n v="7"/>
    <n v="2023"/>
    <d v="2023-07-05T00:00:00"/>
    <s v="CUST802"/>
    <x v="1"/>
    <n v="46"/>
    <x v="0"/>
    <x v="0"/>
    <x v="2"/>
    <n v="30"/>
    <x v="2"/>
    <n v="0.44999999999999996"/>
  </r>
  <r>
    <n v="803"/>
    <n v="22"/>
    <s v="November"/>
    <n v="11"/>
    <n v="2023"/>
    <d v="2023-11-22T00:00:00"/>
    <s v="CUST803"/>
    <x v="0"/>
    <n v="39"/>
    <x v="0"/>
    <x v="1"/>
    <x v="3"/>
    <n v="25"/>
    <x v="4"/>
    <n v="1.5"/>
  </r>
  <r>
    <n v="804"/>
    <n v="24"/>
    <s v="August"/>
    <n v="8"/>
    <n v="2023"/>
    <d v="2023-08-24T00:00:00"/>
    <s v="CUST804"/>
    <x v="0"/>
    <n v="42"/>
    <x v="0"/>
    <x v="2"/>
    <x v="2"/>
    <n v="30"/>
    <x v="2"/>
    <n v="0.44999999999999996"/>
  </r>
  <r>
    <n v="805"/>
    <n v="29"/>
    <s v="December"/>
    <n v="12"/>
    <n v="2023"/>
    <d v="2023-12-29T00:00:00"/>
    <s v="CUST805"/>
    <x v="1"/>
    <n v="30"/>
    <x v="0"/>
    <x v="0"/>
    <x v="0"/>
    <n v="500"/>
    <x v="9"/>
    <n v="22.5"/>
  </r>
  <r>
    <n v="806"/>
    <n v="20"/>
    <s v="March"/>
    <n v="3"/>
    <n v="2023"/>
    <d v="2023-03-20T00:00:00"/>
    <s v="CUST806"/>
    <x v="1"/>
    <n v="35"/>
    <x v="0"/>
    <x v="0"/>
    <x v="0"/>
    <n v="300"/>
    <x v="12"/>
    <n v="13.5"/>
  </r>
  <r>
    <n v="807"/>
    <n v="11"/>
    <s v="August"/>
    <n v="8"/>
    <n v="2023"/>
    <d v="2023-08-11T00:00:00"/>
    <s v="CUST807"/>
    <x v="1"/>
    <n v="50"/>
    <x v="0"/>
    <x v="2"/>
    <x v="3"/>
    <n v="50"/>
    <x v="7"/>
    <n v="3"/>
  </r>
  <r>
    <n v="808"/>
    <n v="1"/>
    <s v="April"/>
    <n v="4"/>
    <n v="2023"/>
    <d v="2023-04-01T00:00:00"/>
    <s v="CUST808"/>
    <x v="0"/>
    <n v="33"/>
    <x v="0"/>
    <x v="0"/>
    <x v="3"/>
    <n v="500"/>
    <x v="11"/>
    <n v="30"/>
  </r>
  <r>
    <n v="809"/>
    <n v="25"/>
    <s v="September"/>
    <n v="9"/>
    <n v="2023"/>
    <d v="2023-09-25T00:00:00"/>
    <s v="CUST809"/>
    <x v="1"/>
    <n v="62"/>
    <x v="0"/>
    <x v="0"/>
    <x v="1"/>
    <n v="50"/>
    <x v="4"/>
    <n v="1.5"/>
  </r>
  <r>
    <n v="810"/>
    <n v="30"/>
    <s v="November"/>
    <n v="11"/>
    <n v="2023"/>
    <d v="2023-11-30T00:00:00"/>
    <s v="CUST810"/>
    <x v="0"/>
    <n v="59"/>
    <x v="0"/>
    <x v="2"/>
    <x v="3"/>
    <n v="25"/>
    <x v="4"/>
    <n v="1.5"/>
  </r>
  <r>
    <n v="811"/>
    <n v="19"/>
    <s v="May"/>
    <n v="5"/>
    <n v="2023"/>
    <d v="2023-05-19T00:00:00"/>
    <s v="CUST811"/>
    <x v="0"/>
    <n v="61"/>
    <x v="0"/>
    <x v="0"/>
    <x v="1"/>
    <n v="25"/>
    <x v="5"/>
    <n v="0.75"/>
  </r>
  <r>
    <n v="812"/>
    <n v="12"/>
    <s v="November"/>
    <n v="11"/>
    <n v="2023"/>
    <d v="2023-11-12T00:00:00"/>
    <s v="CUST812"/>
    <x v="0"/>
    <n v="19"/>
    <x v="0"/>
    <x v="2"/>
    <x v="0"/>
    <n v="25"/>
    <x v="8"/>
    <n v="1.125"/>
  </r>
  <r>
    <n v="813"/>
    <n v="3"/>
    <s v="October"/>
    <n v="10"/>
    <n v="2023"/>
    <d v="2023-10-03T00:00:00"/>
    <s v="CUST813"/>
    <x v="0"/>
    <n v="52"/>
    <x v="0"/>
    <x v="2"/>
    <x v="0"/>
    <n v="50"/>
    <x v="0"/>
    <n v="2.25"/>
  </r>
  <r>
    <n v="814"/>
    <n v="5"/>
    <s v="September"/>
    <n v="9"/>
    <n v="2023"/>
    <d v="2023-09-05T00:00:00"/>
    <s v="CUST814"/>
    <x v="1"/>
    <n v="59"/>
    <x v="0"/>
    <x v="1"/>
    <x v="2"/>
    <n v="500"/>
    <x v="3"/>
    <n v="7.5"/>
  </r>
  <r>
    <n v="815"/>
    <n v="27"/>
    <s v="August"/>
    <n v="8"/>
    <n v="2023"/>
    <d v="2023-08-27T00:00:00"/>
    <s v="CUST815"/>
    <x v="1"/>
    <n v="51"/>
    <x v="0"/>
    <x v="1"/>
    <x v="0"/>
    <n v="25"/>
    <x v="8"/>
    <n v="1.125"/>
  </r>
  <r>
    <n v="816"/>
    <n v="12"/>
    <s v="August"/>
    <n v="8"/>
    <n v="2023"/>
    <d v="2023-08-12T00:00:00"/>
    <s v="CUST816"/>
    <x v="0"/>
    <n v="47"/>
    <x v="0"/>
    <x v="0"/>
    <x v="1"/>
    <n v="500"/>
    <x v="1"/>
    <n v="15"/>
  </r>
  <r>
    <n v="817"/>
    <n v="31"/>
    <s v="October"/>
    <n v="10"/>
    <n v="2023"/>
    <d v="2023-10-31T00:00:00"/>
    <s v="CUST817"/>
    <x v="0"/>
    <n v="30"/>
    <x v="0"/>
    <x v="0"/>
    <x v="3"/>
    <n v="50"/>
    <x v="7"/>
    <n v="3"/>
  </r>
  <r>
    <n v="818"/>
    <n v="18"/>
    <s v="May"/>
    <n v="5"/>
    <n v="2023"/>
    <d v="2023-05-18T00:00:00"/>
    <s v="CUST818"/>
    <x v="0"/>
    <n v="30"/>
    <x v="0"/>
    <x v="2"/>
    <x v="2"/>
    <n v="500"/>
    <x v="3"/>
    <n v="7.5"/>
  </r>
  <r>
    <n v="819"/>
    <n v="15"/>
    <s v="June"/>
    <n v="6"/>
    <n v="2023"/>
    <d v="2023-06-15T00:00:00"/>
    <s v="CUST819"/>
    <x v="1"/>
    <n v="35"/>
    <x v="0"/>
    <x v="0"/>
    <x v="1"/>
    <n v="50"/>
    <x v="4"/>
    <n v="1.5"/>
  </r>
  <r>
    <n v="820"/>
    <n v="6"/>
    <s v="May"/>
    <n v="5"/>
    <n v="2023"/>
    <d v="2023-05-06T00:00:00"/>
    <s v="CUST820"/>
    <x v="0"/>
    <n v="49"/>
    <x v="0"/>
    <x v="2"/>
    <x v="3"/>
    <n v="50"/>
    <x v="7"/>
    <n v="3"/>
  </r>
  <r>
    <n v="821"/>
    <n v="14"/>
    <s v="February"/>
    <n v="2"/>
    <n v="2023"/>
    <d v="2023-02-14T00:00:00"/>
    <s v="CUST821"/>
    <x v="0"/>
    <n v="49"/>
    <x v="0"/>
    <x v="2"/>
    <x v="2"/>
    <n v="300"/>
    <x v="13"/>
    <n v="4.5"/>
  </r>
  <r>
    <n v="822"/>
    <n v="23"/>
    <s v="May"/>
    <n v="5"/>
    <n v="2023"/>
    <d v="2023-05-23T00:00:00"/>
    <s v="CUST822"/>
    <x v="1"/>
    <n v="52"/>
    <x v="0"/>
    <x v="0"/>
    <x v="0"/>
    <n v="50"/>
    <x v="0"/>
    <n v="2.25"/>
  </r>
  <r>
    <n v="823"/>
    <n v="19"/>
    <s v="August"/>
    <n v="8"/>
    <n v="2023"/>
    <d v="2023-08-19T00:00:00"/>
    <s v="CUST823"/>
    <x v="1"/>
    <n v="56"/>
    <x v="0"/>
    <x v="2"/>
    <x v="1"/>
    <n v="50"/>
    <x v="4"/>
    <n v="1.5"/>
  </r>
  <r>
    <n v="824"/>
    <n v="5"/>
    <s v="May"/>
    <n v="5"/>
    <n v="2023"/>
    <d v="2023-05-05T00:00:00"/>
    <s v="CUST824"/>
    <x v="0"/>
    <n v="63"/>
    <x v="0"/>
    <x v="1"/>
    <x v="3"/>
    <n v="30"/>
    <x v="10"/>
    <n v="1.7999999999999998"/>
  </r>
  <r>
    <n v="825"/>
    <n v="26"/>
    <s v="August"/>
    <n v="8"/>
    <n v="2023"/>
    <d v="2023-08-26T00:00:00"/>
    <s v="CUST825"/>
    <x v="1"/>
    <n v="46"/>
    <x v="0"/>
    <x v="0"/>
    <x v="2"/>
    <n v="25"/>
    <x v="16"/>
    <n v="0.375"/>
  </r>
  <r>
    <n v="826"/>
    <n v="19"/>
    <s v="October"/>
    <n v="10"/>
    <n v="2023"/>
    <d v="2023-10-19T00:00:00"/>
    <s v="CUST826"/>
    <x v="1"/>
    <n v="46"/>
    <x v="0"/>
    <x v="1"/>
    <x v="2"/>
    <n v="300"/>
    <x v="13"/>
    <n v="4.5"/>
  </r>
  <r>
    <n v="827"/>
    <n v="9"/>
    <s v="November"/>
    <n v="11"/>
    <n v="2023"/>
    <d v="2023-11-09T00:00:00"/>
    <s v="CUST827"/>
    <x v="0"/>
    <n v="61"/>
    <x v="0"/>
    <x v="0"/>
    <x v="0"/>
    <n v="300"/>
    <x v="12"/>
    <n v="13.5"/>
  </r>
  <r>
    <n v="828"/>
    <n v="9"/>
    <s v="December"/>
    <n v="12"/>
    <n v="2023"/>
    <d v="2023-12-09T00:00:00"/>
    <s v="CUST828"/>
    <x v="1"/>
    <n v="33"/>
    <x v="0"/>
    <x v="2"/>
    <x v="3"/>
    <n v="300"/>
    <x v="14"/>
    <n v="18"/>
  </r>
  <r>
    <n v="829"/>
    <n v="14"/>
    <s v="July"/>
    <n v="7"/>
    <n v="2023"/>
    <d v="2023-07-14T00:00:00"/>
    <s v="CUST829"/>
    <x v="0"/>
    <n v="61"/>
    <x v="0"/>
    <x v="0"/>
    <x v="0"/>
    <n v="30"/>
    <x v="15"/>
    <n v="1.3499999999999999"/>
  </r>
  <r>
    <n v="830"/>
    <n v="22"/>
    <s v="June"/>
    <n v="6"/>
    <n v="2023"/>
    <d v="2023-06-22T00:00:00"/>
    <s v="CUST830"/>
    <x v="1"/>
    <n v="64"/>
    <x v="0"/>
    <x v="1"/>
    <x v="0"/>
    <n v="50"/>
    <x v="0"/>
    <n v="2.25"/>
  </r>
  <r>
    <n v="831"/>
    <n v="15"/>
    <s v="January"/>
    <n v="1"/>
    <n v="2023"/>
    <d v="2023-01-15T00:00:00"/>
    <s v="CUST831"/>
    <x v="0"/>
    <n v="27"/>
    <x v="0"/>
    <x v="2"/>
    <x v="3"/>
    <n v="25"/>
    <x v="4"/>
    <n v="1.5"/>
  </r>
  <r>
    <n v="832"/>
    <n v="11"/>
    <s v="September"/>
    <n v="9"/>
    <n v="2023"/>
    <d v="2023-09-11T00:00:00"/>
    <s v="CUST832"/>
    <x v="0"/>
    <n v="47"/>
    <x v="0"/>
    <x v="0"/>
    <x v="3"/>
    <n v="500"/>
    <x v="11"/>
    <n v="30"/>
  </r>
  <r>
    <n v="833"/>
    <n v="16"/>
    <s v="June"/>
    <n v="6"/>
    <n v="2023"/>
    <d v="2023-06-16T00:00:00"/>
    <s v="CUST833"/>
    <x v="0"/>
    <n v="42"/>
    <x v="0"/>
    <x v="0"/>
    <x v="3"/>
    <n v="50"/>
    <x v="7"/>
    <n v="3"/>
  </r>
  <r>
    <n v="834"/>
    <n v="4"/>
    <s v="April"/>
    <n v="4"/>
    <n v="2023"/>
    <d v="2023-04-04T00:00:00"/>
    <s v="CUST834"/>
    <x v="1"/>
    <n v="56"/>
    <x v="0"/>
    <x v="0"/>
    <x v="1"/>
    <n v="30"/>
    <x v="17"/>
    <n v="0.89999999999999991"/>
  </r>
  <r>
    <n v="835"/>
    <n v="7"/>
    <s v="September"/>
    <n v="9"/>
    <n v="2023"/>
    <d v="2023-09-07T00:00:00"/>
    <s v="CUST835"/>
    <x v="0"/>
    <n v="37"/>
    <x v="0"/>
    <x v="1"/>
    <x v="3"/>
    <n v="50"/>
    <x v="7"/>
    <n v="3"/>
  </r>
  <r>
    <n v="836"/>
    <n v="19"/>
    <s v="April"/>
    <n v="4"/>
    <n v="2023"/>
    <d v="2023-04-19T00:00:00"/>
    <s v="CUST836"/>
    <x v="1"/>
    <n v="22"/>
    <x v="0"/>
    <x v="1"/>
    <x v="2"/>
    <n v="50"/>
    <x v="5"/>
    <n v="0.75"/>
  </r>
  <r>
    <n v="837"/>
    <n v="1"/>
    <s v="July"/>
    <n v="7"/>
    <n v="2023"/>
    <d v="2023-07-01T00:00:00"/>
    <s v="CUST837"/>
    <x v="0"/>
    <n v="18"/>
    <x v="0"/>
    <x v="0"/>
    <x v="0"/>
    <n v="30"/>
    <x v="15"/>
    <n v="1.3499999999999999"/>
  </r>
  <r>
    <n v="838"/>
    <n v="13"/>
    <s v="May"/>
    <n v="5"/>
    <n v="2023"/>
    <d v="2023-05-13T00:00:00"/>
    <s v="CUST838"/>
    <x v="0"/>
    <n v="47"/>
    <x v="0"/>
    <x v="2"/>
    <x v="1"/>
    <n v="300"/>
    <x v="6"/>
    <n v="9"/>
  </r>
  <r>
    <n v="839"/>
    <n v="24"/>
    <s v="June"/>
    <n v="6"/>
    <n v="2023"/>
    <d v="2023-06-24T00:00:00"/>
    <s v="CUST839"/>
    <x v="1"/>
    <n v="20"/>
    <x v="0"/>
    <x v="2"/>
    <x v="3"/>
    <n v="300"/>
    <x v="14"/>
    <n v="18"/>
  </r>
  <r>
    <n v="840"/>
    <n v="24"/>
    <s v="May"/>
    <n v="5"/>
    <n v="2023"/>
    <d v="2023-05-24T00:00:00"/>
    <s v="CUST840"/>
    <x v="0"/>
    <n v="62"/>
    <x v="0"/>
    <x v="1"/>
    <x v="1"/>
    <n v="25"/>
    <x v="5"/>
    <n v="0.75"/>
  </r>
  <r>
    <n v="841"/>
    <n v="2"/>
    <s v="November"/>
    <n v="11"/>
    <n v="2023"/>
    <d v="2023-11-02T00:00:00"/>
    <s v="CUST841"/>
    <x v="0"/>
    <n v="31"/>
    <x v="0"/>
    <x v="2"/>
    <x v="3"/>
    <n v="25"/>
    <x v="4"/>
    <n v="1.5"/>
  </r>
  <r>
    <n v="842"/>
    <n v="26"/>
    <s v="December"/>
    <n v="12"/>
    <n v="2023"/>
    <d v="2023-12-26T00:00:00"/>
    <s v="CUST842"/>
    <x v="1"/>
    <n v="47"/>
    <x v="0"/>
    <x v="1"/>
    <x v="1"/>
    <n v="300"/>
    <x v="6"/>
    <n v="9"/>
  </r>
  <r>
    <n v="843"/>
    <n v="22"/>
    <s v="May"/>
    <n v="5"/>
    <n v="2023"/>
    <d v="2023-05-22T00:00:00"/>
    <s v="CUST843"/>
    <x v="0"/>
    <n v="21"/>
    <x v="0"/>
    <x v="0"/>
    <x v="0"/>
    <n v="500"/>
    <x v="9"/>
    <n v="22.5"/>
  </r>
  <r>
    <n v="844"/>
    <n v="12"/>
    <s v="October"/>
    <n v="10"/>
    <n v="2023"/>
    <d v="2023-10-12T00:00:00"/>
    <s v="CUST844"/>
    <x v="0"/>
    <n v="35"/>
    <x v="0"/>
    <x v="1"/>
    <x v="0"/>
    <n v="50"/>
    <x v="0"/>
    <n v="2.25"/>
  </r>
  <r>
    <n v="845"/>
    <n v="6"/>
    <s v="January"/>
    <n v="1"/>
    <n v="2023"/>
    <d v="2023-01-06T00:00:00"/>
    <s v="CUST845"/>
    <x v="0"/>
    <n v="54"/>
    <x v="0"/>
    <x v="1"/>
    <x v="2"/>
    <n v="500"/>
    <x v="3"/>
    <n v="7.5"/>
  </r>
  <r>
    <n v="846"/>
    <n v="22"/>
    <s v="September"/>
    <n v="9"/>
    <n v="2023"/>
    <d v="2023-09-22T00:00:00"/>
    <s v="CUST846"/>
    <x v="0"/>
    <n v="42"/>
    <x v="0"/>
    <x v="0"/>
    <x v="2"/>
    <n v="50"/>
    <x v="5"/>
    <n v="0.75"/>
  </r>
  <r>
    <n v="847"/>
    <n v="8"/>
    <s v="April"/>
    <n v="4"/>
    <n v="2023"/>
    <d v="2023-04-08T00:00:00"/>
    <s v="CUST847"/>
    <x v="1"/>
    <n v="18"/>
    <x v="0"/>
    <x v="2"/>
    <x v="3"/>
    <n v="300"/>
    <x v="14"/>
    <n v="18"/>
  </r>
  <r>
    <n v="848"/>
    <n v="13"/>
    <s v="February"/>
    <n v="2"/>
    <n v="2023"/>
    <d v="2023-02-13T00:00:00"/>
    <s v="CUST848"/>
    <x v="1"/>
    <n v="63"/>
    <x v="0"/>
    <x v="1"/>
    <x v="0"/>
    <n v="25"/>
    <x v="8"/>
    <n v="1.125"/>
  </r>
  <r>
    <n v="849"/>
    <n v="4"/>
    <s v="May"/>
    <n v="5"/>
    <n v="2023"/>
    <d v="2023-05-04T00:00:00"/>
    <s v="CUST849"/>
    <x v="0"/>
    <n v="32"/>
    <x v="0"/>
    <x v="1"/>
    <x v="1"/>
    <n v="25"/>
    <x v="5"/>
    <n v="0.75"/>
  </r>
  <r>
    <n v="850"/>
    <n v="28"/>
    <s v="July"/>
    <n v="7"/>
    <n v="2023"/>
    <d v="2023-07-28T00:00:00"/>
    <s v="CUST850"/>
    <x v="1"/>
    <n v="26"/>
    <x v="0"/>
    <x v="0"/>
    <x v="1"/>
    <n v="500"/>
    <x v="1"/>
    <n v="15"/>
  </r>
  <r>
    <n v="851"/>
    <n v="8"/>
    <s v="September"/>
    <n v="9"/>
    <n v="2023"/>
    <d v="2023-09-08T00:00:00"/>
    <s v="CUST851"/>
    <x v="0"/>
    <n v="32"/>
    <x v="0"/>
    <x v="2"/>
    <x v="1"/>
    <n v="25"/>
    <x v="5"/>
    <n v="0.75"/>
  </r>
  <r>
    <n v="852"/>
    <n v="12"/>
    <s v="October"/>
    <n v="10"/>
    <n v="2023"/>
    <d v="2023-10-12T00:00:00"/>
    <s v="CUST852"/>
    <x v="1"/>
    <n v="41"/>
    <x v="0"/>
    <x v="1"/>
    <x v="2"/>
    <n v="300"/>
    <x v="13"/>
    <n v="4.5"/>
  </r>
  <r>
    <n v="853"/>
    <n v="4"/>
    <s v="May"/>
    <n v="5"/>
    <n v="2023"/>
    <d v="2023-05-04T00:00:00"/>
    <s v="CUST853"/>
    <x v="0"/>
    <n v="21"/>
    <x v="0"/>
    <x v="0"/>
    <x v="1"/>
    <n v="500"/>
    <x v="1"/>
    <n v="15"/>
  </r>
  <r>
    <n v="854"/>
    <n v="20"/>
    <s v="December"/>
    <n v="12"/>
    <n v="2023"/>
    <d v="2023-12-20T00:00:00"/>
    <s v="CUST854"/>
    <x v="0"/>
    <n v="29"/>
    <x v="0"/>
    <x v="1"/>
    <x v="2"/>
    <n v="50"/>
    <x v="5"/>
    <n v="0.75"/>
  </r>
  <r>
    <n v="855"/>
    <n v="1"/>
    <s v="September"/>
    <n v="9"/>
    <n v="2023"/>
    <d v="2023-09-01T00:00:00"/>
    <s v="CUST855"/>
    <x v="0"/>
    <n v="54"/>
    <x v="0"/>
    <x v="0"/>
    <x v="2"/>
    <n v="25"/>
    <x v="16"/>
    <n v="0.375"/>
  </r>
  <r>
    <n v="856"/>
    <n v="27"/>
    <s v="November"/>
    <n v="11"/>
    <n v="2023"/>
    <d v="2023-11-27T00:00:00"/>
    <s v="CUST856"/>
    <x v="0"/>
    <n v="54"/>
    <x v="0"/>
    <x v="2"/>
    <x v="3"/>
    <n v="30"/>
    <x v="10"/>
    <n v="1.7999999999999998"/>
  </r>
  <r>
    <n v="857"/>
    <n v="31"/>
    <s v="December"/>
    <n v="12"/>
    <n v="2023"/>
    <d v="2023-12-31T00:00:00"/>
    <s v="CUST857"/>
    <x v="0"/>
    <n v="60"/>
    <x v="0"/>
    <x v="2"/>
    <x v="1"/>
    <n v="25"/>
    <x v="5"/>
    <n v="0.75"/>
  </r>
  <r>
    <n v="858"/>
    <n v="9"/>
    <s v="September"/>
    <n v="9"/>
    <n v="2023"/>
    <d v="2023-09-09T00:00:00"/>
    <s v="CUST858"/>
    <x v="0"/>
    <n v="23"/>
    <x v="0"/>
    <x v="2"/>
    <x v="1"/>
    <n v="50"/>
    <x v="4"/>
    <n v="1.5"/>
  </r>
  <r>
    <n v="859"/>
    <n v="18"/>
    <s v="August"/>
    <n v="8"/>
    <n v="2023"/>
    <d v="2023-08-18T00:00:00"/>
    <s v="CUST859"/>
    <x v="1"/>
    <n v="56"/>
    <x v="0"/>
    <x v="2"/>
    <x v="0"/>
    <n v="500"/>
    <x v="9"/>
    <n v="22.5"/>
  </r>
  <r>
    <n v="860"/>
    <n v="9"/>
    <s v="January"/>
    <n v="1"/>
    <n v="2023"/>
    <d v="2023-01-09T00:00:00"/>
    <s v="CUST860"/>
    <x v="0"/>
    <n v="63"/>
    <x v="0"/>
    <x v="1"/>
    <x v="3"/>
    <n v="50"/>
    <x v="7"/>
    <n v="3"/>
  </r>
  <r>
    <n v="861"/>
    <n v="17"/>
    <s v="February"/>
    <n v="2"/>
    <n v="2023"/>
    <d v="2023-02-17T00:00:00"/>
    <s v="CUST861"/>
    <x v="1"/>
    <n v="41"/>
    <x v="0"/>
    <x v="1"/>
    <x v="0"/>
    <n v="30"/>
    <x v="15"/>
    <n v="1.3499999999999999"/>
  </r>
  <r>
    <n v="862"/>
    <n v="31"/>
    <s v="May"/>
    <n v="5"/>
    <n v="2023"/>
    <d v="2023-05-31T00:00:00"/>
    <s v="CUST862"/>
    <x v="0"/>
    <n v="28"/>
    <x v="0"/>
    <x v="2"/>
    <x v="3"/>
    <n v="300"/>
    <x v="14"/>
    <n v="18"/>
  </r>
  <r>
    <n v="863"/>
    <n v="24"/>
    <s v="April"/>
    <n v="4"/>
    <n v="2023"/>
    <d v="2023-04-24T00:00:00"/>
    <s v="CUST863"/>
    <x v="1"/>
    <n v="30"/>
    <x v="0"/>
    <x v="2"/>
    <x v="1"/>
    <n v="25"/>
    <x v="5"/>
    <n v="0.75"/>
  </r>
  <r>
    <n v="864"/>
    <n v="27"/>
    <s v="July"/>
    <n v="7"/>
    <n v="2023"/>
    <d v="2023-07-27T00:00:00"/>
    <s v="CUST864"/>
    <x v="1"/>
    <n v="51"/>
    <x v="0"/>
    <x v="2"/>
    <x v="2"/>
    <n v="500"/>
    <x v="3"/>
    <n v="7.5"/>
  </r>
  <r>
    <n v="865"/>
    <n v="21"/>
    <s v="December"/>
    <n v="12"/>
    <n v="2023"/>
    <d v="2023-12-21T00:00:00"/>
    <s v="CUST865"/>
    <x v="1"/>
    <n v="42"/>
    <x v="0"/>
    <x v="1"/>
    <x v="2"/>
    <n v="300"/>
    <x v="13"/>
    <n v="4.5"/>
  </r>
  <r>
    <n v="866"/>
    <n v="5"/>
    <s v="May"/>
    <n v="5"/>
    <n v="2023"/>
    <d v="2023-05-05T00:00:00"/>
    <s v="CUST866"/>
    <x v="0"/>
    <n v="24"/>
    <x v="0"/>
    <x v="2"/>
    <x v="2"/>
    <n v="50"/>
    <x v="5"/>
    <n v="0.75"/>
  </r>
  <r>
    <n v="867"/>
    <n v="6"/>
    <s v="June"/>
    <n v="6"/>
    <n v="2023"/>
    <d v="2023-06-06T00:00:00"/>
    <s v="CUST867"/>
    <x v="0"/>
    <n v="21"/>
    <x v="0"/>
    <x v="2"/>
    <x v="2"/>
    <n v="500"/>
    <x v="3"/>
    <n v="7.5"/>
  </r>
  <r>
    <n v="868"/>
    <n v="6"/>
    <s v="December"/>
    <n v="12"/>
    <n v="2023"/>
    <d v="2023-12-06T00:00:00"/>
    <s v="CUST868"/>
    <x v="1"/>
    <n v="25"/>
    <x v="0"/>
    <x v="2"/>
    <x v="2"/>
    <n v="300"/>
    <x v="13"/>
    <n v="4.5"/>
  </r>
  <r>
    <n v="869"/>
    <n v="25"/>
    <s v="October"/>
    <n v="10"/>
    <n v="2023"/>
    <d v="2023-10-25T00:00:00"/>
    <s v="CUST869"/>
    <x v="0"/>
    <n v="37"/>
    <x v="0"/>
    <x v="0"/>
    <x v="0"/>
    <n v="500"/>
    <x v="9"/>
    <n v="22.5"/>
  </r>
  <r>
    <n v="870"/>
    <n v="8"/>
    <s v="July"/>
    <n v="7"/>
    <n v="2023"/>
    <d v="2023-07-08T00:00:00"/>
    <s v="CUST870"/>
    <x v="1"/>
    <n v="46"/>
    <x v="0"/>
    <x v="2"/>
    <x v="3"/>
    <n v="30"/>
    <x v="10"/>
    <n v="1.7999999999999998"/>
  </r>
  <r>
    <n v="871"/>
    <n v="31"/>
    <s v="August"/>
    <n v="8"/>
    <n v="2023"/>
    <d v="2023-08-31T00:00:00"/>
    <s v="CUST871"/>
    <x v="0"/>
    <n v="62"/>
    <x v="0"/>
    <x v="0"/>
    <x v="1"/>
    <n v="30"/>
    <x v="17"/>
    <n v="0.89999999999999991"/>
  </r>
  <r>
    <n v="872"/>
    <n v="11"/>
    <s v="October"/>
    <n v="10"/>
    <n v="2023"/>
    <d v="2023-10-11T00:00:00"/>
    <s v="CUST872"/>
    <x v="1"/>
    <n v="63"/>
    <x v="0"/>
    <x v="0"/>
    <x v="0"/>
    <n v="25"/>
    <x v="8"/>
    <n v="1.125"/>
  </r>
  <r>
    <n v="873"/>
    <n v="29"/>
    <s v="September"/>
    <n v="9"/>
    <n v="2023"/>
    <d v="2023-09-29T00:00:00"/>
    <s v="CUST873"/>
    <x v="1"/>
    <n v="27"/>
    <x v="0"/>
    <x v="2"/>
    <x v="3"/>
    <n v="25"/>
    <x v="4"/>
    <n v="1.5"/>
  </r>
  <r>
    <n v="874"/>
    <n v="26"/>
    <s v="June"/>
    <n v="6"/>
    <n v="2023"/>
    <d v="2023-06-26T00:00:00"/>
    <s v="CUST874"/>
    <x v="0"/>
    <n v="60"/>
    <x v="0"/>
    <x v="0"/>
    <x v="2"/>
    <n v="30"/>
    <x v="2"/>
    <n v="0.44999999999999996"/>
  </r>
  <r>
    <n v="875"/>
    <n v="6"/>
    <s v="August"/>
    <n v="8"/>
    <n v="2023"/>
    <d v="2023-08-06T00:00:00"/>
    <s v="CUST875"/>
    <x v="1"/>
    <n v="51"/>
    <x v="0"/>
    <x v="2"/>
    <x v="3"/>
    <n v="500"/>
    <x v="11"/>
    <n v="30"/>
  </r>
  <r>
    <n v="876"/>
    <n v="9"/>
    <s v="October"/>
    <n v="10"/>
    <n v="2023"/>
    <d v="2023-10-09T00:00:00"/>
    <s v="CUST876"/>
    <x v="0"/>
    <n v="43"/>
    <x v="0"/>
    <x v="1"/>
    <x v="3"/>
    <n v="30"/>
    <x v="10"/>
    <n v="1.7999999999999998"/>
  </r>
  <r>
    <n v="877"/>
    <n v="19"/>
    <s v="June"/>
    <n v="6"/>
    <n v="2023"/>
    <d v="2023-06-19T00:00:00"/>
    <s v="CUST877"/>
    <x v="1"/>
    <n v="58"/>
    <x v="0"/>
    <x v="1"/>
    <x v="2"/>
    <n v="25"/>
    <x v="16"/>
    <n v="0.375"/>
  </r>
  <r>
    <n v="878"/>
    <n v="30"/>
    <s v="June"/>
    <n v="6"/>
    <n v="2023"/>
    <d v="2023-06-30T00:00:00"/>
    <s v="CUST878"/>
    <x v="1"/>
    <n v="20"/>
    <x v="0"/>
    <x v="1"/>
    <x v="2"/>
    <n v="30"/>
    <x v="2"/>
    <n v="0.44999999999999996"/>
  </r>
  <r>
    <n v="879"/>
    <n v="26"/>
    <s v="December"/>
    <n v="12"/>
    <n v="2023"/>
    <d v="2023-12-26T00:00:00"/>
    <s v="CUST879"/>
    <x v="0"/>
    <n v="23"/>
    <x v="0"/>
    <x v="1"/>
    <x v="2"/>
    <n v="30"/>
    <x v="2"/>
    <n v="0.44999999999999996"/>
  </r>
  <r>
    <n v="880"/>
    <n v="21"/>
    <s v="August"/>
    <n v="8"/>
    <n v="2023"/>
    <d v="2023-08-21T00:00:00"/>
    <s v="CUST880"/>
    <x v="0"/>
    <n v="22"/>
    <x v="0"/>
    <x v="0"/>
    <x v="1"/>
    <n v="500"/>
    <x v="1"/>
    <n v="15"/>
  </r>
  <r>
    <n v="881"/>
    <n v="19"/>
    <s v="May"/>
    <n v="5"/>
    <n v="2023"/>
    <d v="2023-05-19T00:00:00"/>
    <s v="CUST881"/>
    <x v="0"/>
    <n v="22"/>
    <x v="0"/>
    <x v="2"/>
    <x v="2"/>
    <n v="300"/>
    <x v="13"/>
    <n v="4.5"/>
  </r>
  <r>
    <n v="882"/>
    <n v="6"/>
    <s v="June"/>
    <n v="6"/>
    <n v="2023"/>
    <d v="2023-06-06T00:00:00"/>
    <s v="CUST882"/>
    <x v="1"/>
    <n v="64"/>
    <x v="0"/>
    <x v="2"/>
    <x v="1"/>
    <n v="25"/>
    <x v="5"/>
    <n v="0.75"/>
  </r>
  <r>
    <n v="883"/>
    <n v="9"/>
    <s v="May"/>
    <n v="5"/>
    <n v="2023"/>
    <d v="2023-05-09T00:00:00"/>
    <s v="CUST883"/>
    <x v="0"/>
    <n v="40"/>
    <x v="0"/>
    <x v="2"/>
    <x v="2"/>
    <n v="500"/>
    <x v="3"/>
    <n v="7.5"/>
  </r>
  <r>
    <n v="884"/>
    <n v="29"/>
    <s v="April"/>
    <n v="4"/>
    <n v="2023"/>
    <d v="2023-04-29T00:00:00"/>
    <s v="CUST884"/>
    <x v="1"/>
    <n v="26"/>
    <x v="0"/>
    <x v="1"/>
    <x v="1"/>
    <n v="30"/>
    <x v="17"/>
    <n v="0.89999999999999991"/>
  </r>
  <r>
    <n v="885"/>
    <n v="3"/>
    <s v="March"/>
    <n v="3"/>
    <n v="2023"/>
    <d v="2023-03-03T00:00:00"/>
    <s v="CUST885"/>
    <x v="1"/>
    <n v="52"/>
    <x v="0"/>
    <x v="1"/>
    <x v="3"/>
    <n v="30"/>
    <x v="10"/>
    <n v="1.7999999999999998"/>
  </r>
  <r>
    <n v="886"/>
    <n v="9"/>
    <s v="April"/>
    <n v="4"/>
    <n v="2023"/>
    <d v="2023-04-09T00:00:00"/>
    <s v="CUST886"/>
    <x v="0"/>
    <n v="37"/>
    <x v="0"/>
    <x v="2"/>
    <x v="0"/>
    <n v="300"/>
    <x v="12"/>
    <n v="13.5"/>
  </r>
  <r>
    <n v="887"/>
    <n v="11"/>
    <s v="June"/>
    <n v="6"/>
    <n v="2023"/>
    <d v="2023-06-11T00:00:00"/>
    <s v="CUST887"/>
    <x v="0"/>
    <n v="59"/>
    <x v="0"/>
    <x v="1"/>
    <x v="3"/>
    <n v="25"/>
    <x v="4"/>
    <n v="1.5"/>
  </r>
  <r>
    <n v="888"/>
    <n v="3"/>
    <s v="March"/>
    <n v="3"/>
    <n v="2023"/>
    <d v="2023-03-03T00:00:00"/>
    <s v="CUST888"/>
    <x v="1"/>
    <n v="52"/>
    <x v="0"/>
    <x v="2"/>
    <x v="3"/>
    <n v="25"/>
    <x v="4"/>
    <n v="1.5"/>
  </r>
  <r>
    <n v="889"/>
    <n v="2"/>
    <s v="October"/>
    <n v="10"/>
    <n v="2023"/>
    <d v="2023-10-02T00:00:00"/>
    <s v="CUST889"/>
    <x v="1"/>
    <n v="35"/>
    <x v="0"/>
    <x v="2"/>
    <x v="2"/>
    <n v="50"/>
    <x v="5"/>
    <n v="0.75"/>
  </r>
  <r>
    <n v="890"/>
    <n v="20"/>
    <s v="December"/>
    <n v="12"/>
    <n v="2023"/>
    <d v="2023-12-20T00:00:00"/>
    <s v="CUST890"/>
    <x v="0"/>
    <n v="34"/>
    <x v="0"/>
    <x v="2"/>
    <x v="1"/>
    <n v="25"/>
    <x v="5"/>
    <n v="0.75"/>
  </r>
  <r>
    <n v="891"/>
    <n v="5"/>
    <s v="April"/>
    <n v="4"/>
    <n v="2023"/>
    <d v="2023-04-05T00:00:00"/>
    <s v="CUST891"/>
    <x v="0"/>
    <n v="41"/>
    <x v="0"/>
    <x v="2"/>
    <x v="0"/>
    <n v="300"/>
    <x v="12"/>
    <n v="13.5"/>
  </r>
  <r>
    <n v="892"/>
    <n v="9"/>
    <s v="April"/>
    <n v="4"/>
    <n v="2023"/>
    <d v="2023-04-09T00:00:00"/>
    <s v="CUST892"/>
    <x v="0"/>
    <n v="20"/>
    <x v="0"/>
    <x v="2"/>
    <x v="2"/>
    <n v="50"/>
    <x v="5"/>
    <n v="0.75"/>
  </r>
  <r>
    <n v="893"/>
    <n v="21"/>
    <s v="April"/>
    <n v="4"/>
    <n v="2023"/>
    <d v="2023-04-21T00:00:00"/>
    <s v="CUST893"/>
    <x v="0"/>
    <n v="49"/>
    <x v="0"/>
    <x v="2"/>
    <x v="2"/>
    <n v="50"/>
    <x v="5"/>
    <n v="0.75"/>
  </r>
  <r>
    <n v="894"/>
    <n v="5"/>
    <s v="September"/>
    <n v="9"/>
    <n v="2023"/>
    <d v="2023-09-05T00:00:00"/>
    <s v="CUST894"/>
    <x v="0"/>
    <n v="52"/>
    <x v="0"/>
    <x v="2"/>
    <x v="2"/>
    <n v="30"/>
    <x v="2"/>
    <n v="0.44999999999999996"/>
  </r>
  <r>
    <n v="895"/>
    <n v="22"/>
    <s v="May"/>
    <n v="5"/>
    <n v="2023"/>
    <d v="2023-05-22T00:00:00"/>
    <s v="CUST895"/>
    <x v="1"/>
    <n v="55"/>
    <x v="0"/>
    <x v="1"/>
    <x v="3"/>
    <n v="30"/>
    <x v="10"/>
    <n v="1.7999999999999998"/>
  </r>
  <r>
    <n v="896"/>
    <n v="29"/>
    <s v="October"/>
    <n v="10"/>
    <n v="2023"/>
    <d v="2023-10-29T00:00:00"/>
    <s v="CUST896"/>
    <x v="1"/>
    <n v="30"/>
    <x v="0"/>
    <x v="2"/>
    <x v="1"/>
    <n v="25"/>
    <x v="5"/>
    <n v="0.75"/>
  </r>
  <r>
    <n v="897"/>
    <n v="26"/>
    <s v="September"/>
    <n v="9"/>
    <n v="2023"/>
    <d v="2023-09-26T00:00:00"/>
    <s v="CUST897"/>
    <x v="1"/>
    <n v="64"/>
    <x v="0"/>
    <x v="2"/>
    <x v="1"/>
    <n v="50"/>
    <x v="4"/>
    <n v="1.5"/>
  </r>
  <r>
    <n v="898"/>
    <n v="2"/>
    <s v="November"/>
    <n v="11"/>
    <n v="2023"/>
    <d v="2023-11-02T00:00:00"/>
    <s v="CUST898"/>
    <x v="1"/>
    <n v="42"/>
    <x v="0"/>
    <x v="1"/>
    <x v="0"/>
    <n v="30"/>
    <x v="15"/>
    <n v="1.3499999999999999"/>
  </r>
  <r>
    <n v="899"/>
    <n v="25"/>
    <s v="May"/>
    <n v="5"/>
    <n v="2023"/>
    <d v="2023-05-25T00:00:00"/>
    <s v="CUST899"/>
    <x v="0"/>
    <n v="26"/>
    <x v="0"/>
    <x v="1"/>
    <x v="1"/>
    <n v="300"/>
    <x v="6"/>
    <n v="9"/>
  </r>
  <r>
    <n v="900"/>
    <n v="21"/>
    <s v="February"/>
    <n v="2"/>
    <n v="2023"/>
    <d v="2023-02-21T00:00:00"/>
    <s v="CUST900"/>
    <x v="0"/>
    <n v="21"/>
    <x v="0"/>
    <x v="1"/>
    <x v="1"/>
    <n v="30"/>
    <x v="17"/>
    <n v="0.89999999999999991"/>
  </r>
  <r>
    <n v="901"/>
    <n v="10"/>
    <s v="April"/>
    <n v="4"/>
    <n v="2023"/>
    <d v="2023-04-10T00:00:00"/>
    <s v="CUST901"/>
    <x v="0"/>
    <n v="31"/>
    <x v="0"/>
    <x v="2"/>
    <x v="2"/>
    <n v="30"/>
    <x v="2"/>
    <n v="0.44999999999999996"/>
  </r>
  <r>
    <n v="902"/>
    <n v="1"/>
    <s v="June"/>
    <n v="6"/>
    <n v="2023"/>
    <d v="2023-06-01T00:00:00"/>
    <s v="CUST902"/>
    <x v="1"/>
    <n v="54"/>
    <x v="0"/>
    <x v="0"/>
    <x v="2"/>
    <n v="50"/>
    <x v="5"/>
    <n v="0.75"/>
  </r>
  <r>
    <n v="903"/>
    <n v="27"/>
    <s v="April"/>
    <n v="4"/>
    <n v="2023"/>
    <d v="2023-04-27T00:00:00"/>
    <s v="CUST903"/>
    <x v="1"/>
    <n v="51"/>
    <x v="0"/>
    <x v="0"/>
    <x v="3"/>
    <n v="50"/>
    <x v="7"/>
    <n v="3"/>
  </r>
  <r>
    <n v="904"/>
    <n v="4"/>
    <s v="July"/>
    <n v="7"/>
    <n v="2023"/>
    <d v="2023-07-04T00:00:00"/>
    <s v="CUST904"/>
    <x v="0"/>
    <n v="28"/>
    <x v="0"/>
    <x v="1"/>
    <x v="2"/>
    <n v="500"/>
    <x v="3"/>
    <n v="7.5"/>
  </r>
  <r>
    <n v="905"/>
    <n v="2"/>
    <s v="April"/>
    <n v="4"/>
    <n v="2023"/>
    <d v="2023-04-02T00:00:00"/>
    <s v="CUST905"/>
    <x v="0"/>
    <n v="58"/>
    <x v="0"/>
    <x v="0"/>
    <x v="2"/>
    <n v="300"/>
    <x v="13"/>
    <n v="4.5"/>
  </r>
  <r>
    <n v="906"/>
    <n v="4"/>
    <s v="June"/>
    <n v="6"/>
    <n v="2023"/>
    <d v="2023-06-04T00:00:00"/>
    <s v="CUST906"/>
    <x v="1"/>
    <n v="20"/>
    <x v="0"/>
    <x v="1"/>
    <x v="2"/>
    <n v="50"/>
    <x v="5"/>
    <n v="0.75"/>
  </r>
  <r>
    <n v="907"/>
    <n v="8"/>
    <s v="January"/>
    <n v="1"/>
    <n v="2023"/>
    <d v="2023-01-08T00:00:00"/>
    <s v="CUST907"/>
    <x v="1"/>
    <n v="45"/>
    <x v="0"/>
    <x v="2"/>
    <x v="2"/>
    <n v="25"/>
    <x v="16"/>
    <n v="0.375"/>
  </r>
  <r>
    <n v="908"/>
    <n v="29"/>
    <s v="December"/>
    <n v="12"/>
    <n v="2023"/>
    <d v="2023-12-29T00:00:00"/>
    <s v="CUST908"/>
    <x v="0"/>
    <n v="46"/>
    <x v="0"/>
    <x v="0"/>
    <x v="3"/>
    <n v="300"/>
    <x v="14"/>
    <n v="18"/>
  </r>
  <r>
    <n v="909"/>
    <n v="1"/>
    <s v="October"/>
    <n v="10"/>
    <n v="2023"/>
    <d v="2023-10-01T00:00:00"/>
    <s v="CUST909"/>
    <x v="0"/>
    <n v="26"/>
    <x v="0"/>
    <x v="2"/>
    <x v="2"/>
    <n v="300"/>
    <x v="13"/>
    <n v="4.5"/>
  </r>
  <r>
    <n v="910"/>
    <n v="6"/>
    <s v="March"/>
    <n v="3"/>
    <n v="2023"/>
    <d v="2023-03-06T00:00:00"/>
    <s v="CUST910"/>
    <x v="1"/>
    <n v="20"/>
    <x v="0"/>
    <x v="0"/>
    <x v="0"/>
    <n v="50"/>
    <x v="0"/>
    <n v="2.25"/>
  </r>
  <r>
    <n v="911"/>
    <n v="21"/>
    <s v="May"/>
    <n v="5"/>
    <n v="2023"/>
    <d v="2023-05-21T00:00:00"/>
    <s v="CUST911"/>
    <x v="0"/>
    <n v="42"/>
    <x v="0"/>
    <x v="2"/>
    <x v="0"/>
    <n v="300"/>
    <x v="12"/>
    <n v="13.5"/>
  </r>
  <r>
    <n v="912"/>
    <n v="24"/>
    <s v="January"/>
    <n v="1"/>
    <n v="2023"/>
    <d v="2023-01-24T00:00:00"/>
    <s v="CUST912"/>
    <x v="0"/>
    <n v="51"/>
    <x v="0"/>
    <x v="0"/>
    <x v="0"/>
    <n v="50"/>
    <x v="0"/>
    <n v="2.25"/>
  </r>
  <r>
    <n v="913"/>
    <n v="28"/>
    <s v="January"/>
    <n v="1"/>
    <n v="2023"/>
    <d v="2023-01-28T00:00:00"/>
    <s v="CUST913"/>
    <x v="0"/>
    <n v="29"/>
    <x v="0"/>
    <x v="2"/>
    <x v="0"/>
    <n v="30"/>
    <x v="15"/>
    <n v="1.3499999999999999"/>
  </r>
  <r>
    <n v="914"/>
    <n v="11"/>
    <s v="October"/>
    <n v="10"/>
    <n v="2023"/>
    <d v="2023-10-11T00:00:00"/>
    <s v="CUST914"/>
    <x v="1"/>
    <n v="59"/>
    <x v="0"/>
    <x v="2"/>
    <x v="2"/>
    <n v="500"/>
    <x v="3"/>
    <n v="7.5"/>
  </r>
  <r>
    <n v="915"/>
    <n v="30"/>
    <s v="May"/>
    <n v="5"/>
    <n v="2023"/>
    <d v="2023-05-30T00:00:00"/>
    <s v="CUST915"/>
    <x v="1"/>
    <n v="26"/>
    <x v="0"/>
    <x v="0"/>
    <x v="0"/>
    <n v="30"/>
    <x v="15"/>
    <n v="1.3499999999999999"/>
  </r>
  <r>
    <n v="916"/>
    <n v="24"/>
    <s v="December"/>
    <n v="12"/>
    <n v="2023"/>
    <d v="2023-12-24T00:00:00"/>
    <s v="CUST916"/>
    <x v="1"/>
    <n v="32"/>
    <x v="0"/>
    <x v="2"/>
    <x v="2"/>
    <n v="50"/>
    <x v="5"/>
    <n v="0.75"/>
  </r>
  <r>
    <n v="917"/>
    <n v="6"/>
    <s v="March"/>
    <n v="3"/>
    <n v="2023"/>
    <d v="2023-03-06T00:00:00"/>
    <s v="CUST917"/>
    <x v="1"/>
    <n v="57"/>
    <x v="0"/>
    <x v="2"/>
    <x v="3"/>
    <n v="50"/>
    <x v="7"/>
    <n v="3"/>
  </r>
  <r>
    <n v="918"/>
    <n v="23"/>
    <s v="November"/>
    <n v="11"/>
    <n v="2023"/>
    <d v="2023-11-23T00:00:00"/>
    <s v="CUST918"/>
    <x v="1"/>
    <n v="42"/>
    <x v="0"/>
    <x v="2"/>
    <x v="0"/>
    <n v="30"/>
    <x v="15"/>
    <n v="1.3499999999999999"/>
  </r>
  <r>
    <n v="919"/>
    <n v="9"/>
    <s v="September"/>
    <n v="9"/>
    <n v="2023"/>
    <d v="2023-09-09T00:00:00"/>
    <s v="CUST919"/>
    <x v="1"/>
    <n v="22"/>
    <x v="0"/>
    <x v="0"/>
    <x v="1"/>
    <n v="25"/>
    <x v="5"/>
    <n v="0.75"/>
  </r>
  <r>
    <n v="920"/>
    <n v="22"/>
    <s v="February"/>
    <n v="2"/>
    <n v="2023"/>
    <d v="2023-02-22T00:00:00"/>
    <s v="CUST920"/>
    <x v="1"/>
    <n v="28"/>
    <x v="0"/>
    <x v="0"/>
    <x v="0"/>
    <n v="25"/>
    <x v="8"/>
    <n v="1.125"/>
  </r>
  <r>
    <n v="921"/>
    <n v="7"/>
    <s v="January"/>
    <n v="1"/>
    <n v="2023"/>
    <d v="2023-01-07T00:00:00"/>
    <s v="CUST921"/>
    <x v="0"/>
    <n v="51"/>
    <x v="0"/>
    <x v="2"/>
    <x v="0"/>
    <n v="25"/>
    <x v="8"/>
    <n v="1.125"/>
  </r>
  <r>
    <n v="922"/>
    <n v="21"/>
    <s v="October"/>
    <n v="10"/>
    <n v="2023"/>
    <d v="2023-10-21T00:00:00"/>
    <s v="CUST922"/>
    <x v="0"/>
    <n v="41"/>
    <x v="0"/>
    <x v="2"/>
    <x v="2"/>
    <n v="50"/>
    <x v="5"/>
    <n v="0.75"/>
  </r>
  <r>
    <n v="923"/>
    <n v="26"/>
    <s v="May"/>
    <n v="5"/>
    <n v="2023"/>
    <d v="2023-05-26T00:00:00"/>
    <s v="CUST923"/>
    <x v="0"/>
    <n v="32"/>
    <x v="0"/>
    <x v="0"/>
    <x v="0"/>
    <n v="300"/>
    <x v="12"/>
    <n v="13.5"/>
  </r>
  <r>
    <n v="924"/>
    <n v="29"/>
    <s v="August"/>
    <n v="8"/>
    <n v="2023"/>
    <d v="2023-08-29T00:00:00"/>
    <s v="CUST924"/>
    <x v="0"/>
    <n v="55"/>
    <x v="0"/>
    <x v="0"/>
    <x v="1"/>
    <n v="50"/>
    <x v="4"/>
    <n v="1.5"/>
  </r>
  <r>
    <n v="925"/>
    <n v="3"/>
    <s v="September"/>
    <n v="9"/>
    <n v="2023"/>
    <d v="2023-09-03T00:00:00"/>
    <s v="CUST925"/>
    <x v="0"/>
    <n v="25"/>
    <x v="0"/>
    <x v="2"/>
    <x v="2"/>
    <n v="300"/>
    <x v="13"/>
    <n v="4.5"/>
  </r>
  <r>
    <n v="926"/>
    <n v="14"/>
    <s v="August"/>
    <n v="8"/>
    <n v="2023"/>
    <d v="2023-08-14T00:00:00"/>
    <s v="CUST926"/>
    <x v="0"/>
    <n v="22"/>
    <x v="0"/>
    <x v="2"/>
    <x v="2"/>
    <n v="30"/>
    <x v="2"/>
    <n v="0.44999999999999996"/>
  </r>
  <r>
    <n v="927"/>
    <n v="24"/>
    <s v="June"/>
    <n v="6"/>
    <n v="2023"/>
    <d v="2023-06-24T00:00:00"/>
    <s v="CUST927"/>
    <x v="0"/>
    <n v="43"/>
    <x v="0"/>
    <x v="2"/>
    <x v="3"/>
    <n v="500"/>
    <x v="11"/>
    <n v="30"/>
  </r>
  <r>
    <n v="928"/>
    <n v="5"/>
    <s v="April"/>
    <n v="4"/>
    <n v="2023"/>
    <d v="2023-04-05T00:00:00"/>
    <s v="CUST928"/>
    <x v="1"/>
    <n v="35"/>
    <x v="0"/>
    <x v="1"/>
    <x v="3"/>
    <n v="300"/>
    <x v="14"/>
    <n v="18"/>
  </r>
  <r>
    <n v="929"/>
    <n v="27"/>
    <s v="January"/>
    <n v="1"/>
    <n v="2023"/>
    <d v="2023-01-27T00:00:00"/>
    <s v="CUST929"/>
    <x v="1"/>
    <n v="23"/>
    <x v="0"/>
    <x v="0"/>
    <x v="0"/>
    <n v="25"/>
    <x v="8"/>
    <n v="1.125"/>
  </r>
  <r>
    <n v="930"/>
    <n v="10"/>
    <s v="May"/>
    <n v="5"/>
    <n v="2023"/>
    <d v="2023-05-10T00:00:00"/>
    <s v="CUST930"/>
    <x v="0"/>
    <n v="54"/>
    <x v="0"/>
    <x v="1"/>
    <x v="3"/>
    <n v="50"/>
    <x v="7"/>
    <n v="3"/>
  </r>
  <r>
    <n v="931"/>
    <n v="2"/>
    <s v="September"/>
    <n v="9"/>
    <n v="2023"/>
    <d v="2023-09-02T00:00:00"/>
    <s v="CUST931"/>
    <x v="0"/>
    <n v="30"/>
    <x v="0"/>
    <x v="0"/>
    <x v="3"/>
    <n v="30"/>
    <x v="10"/>
    <n v="1.7999999999999998"/>
  </r>
  <r>
    <n v="932"/>
    <n v="28"/>
    <s v="February"/>
    <n v="2"/>
    <n v="2023"/>
    <d v="2023-02-28T00:00:00"/>
    <s v="CUST932"/>
    <x v="1"/>
    <n v="45"/>
    <x v="0"/>
    <x v="0"/>
    <x v="3"/>
    <n v="25"/>
    <x v="4"/>
    <n v="1.5"/>
  </r>
  <r>
    <n v="933"/>
    <n v="3"/>
    <s v="February"/>
    <n v="2"/>
    <n v="2023"/>
    <d v="2023-02-03T00:00:00"/>
    <s v="CUST933"/>
    <x v="0"/>
    <n v="22"/>
    <x v="0"/>
    <x v="0"/>
    <x v="2"/>
    <n v="30"/>
    <x v="2"/>
    <n v="0.44999999999999996"/>
  </r>
  <r>
    <n v="934"/>
    <n v="25"/>
    <s v="July"/>
    <n v="7"/>
    <n v="2023"/>
    <d v="2023-07-25T00:00:00"/>
    <s v="CUST934"/>
    <x v="0"/>
    <n v="30"/>
    <x v="0"/>
    <x v="0"/>
    <x v="2"/>
    <n v="500"/>
    <x v="3"/>
    <n v="7.5"/>
  </r>
  <r>
    <n v="935"/>
    <n v="9"/>
    <s v="September"/>
    <n v="9"/>
    <n v="2023"/>
    <d v="2023-09-09T00:00:00"/>
    <s v="CUST935"/>
    <x v="1"/>
    <n v="34"/>
    <x v="0"/>
    <x v="0"/>
    <x v="2"/>
    <n v="50"/>
    <x v="5"/>
    <n v="0.75"/>
  </r>
  <r>
    <n v="936"/>
    <n v="7"/>
    <s v="February"/>
    <n v="2"/>
    <n v="2023"/>
    <d v="2023-02-07T00:00:00"/>
    <s v="CUST936"/>
    <x v="0"/>
    <n v="57"/>
    <x v="0"/>
    <x v="0"/>
    <x v="3"/>
    <n v="50"/>
    <x v="7"/>
    <n v="3"/>
  </r>
  <r>
    <n v="937"/>
    <n v="23"/>
    <s v="October"/>
    <n v="10"/>
    <n v="2023"/>
    <d v="2023-10-23T00:00:00"/>
    <s v="CUST937"/>
    <x v="1"/>
    <n v="62"/>
    <x v="0"/>
    <x v="0"/>
    <x v="2"/>
    <n v="500"/>
    <x v="3"/>
    <n v="7.5"/>
  </r>
  <r>
    <n v="938"/>
    <n v="19"/>
    <s v="November"/>
    <n v="11"/>
    <n v="2023"/>
    <d v="2023-11-19T00:00:00"/>
    <s v="CUST938"/>
    <x v="0"/>
    <n v="49"/>
    <x v="0"/>
    <x v="1"/>
    <x v="3"/>
    <n v="50"/>
    <x v="7"/>
    <n v="3"/>
  </r>
  <r>
    <n v="939"/>
    <n v="18"/>
    <s v="December"/>
    <n v="12"/>
    <n v="2023"/>
    <d v="2023-12-18T00:00:00"/>
    <s v="CUST939"/>
    <x v="1"/>
    <n v="46"/>
    <x v="0"/>
    <x v="2"/>
    <x v="2"/>
    <n v="300"/>
    <x v="13"/>
    <n v="4.5"/>
  </r>
  <r>
    <n v="940"/>
    <n v="28"/>
    <s v="January"/>
    <n v="1"/>
    <n v="2023"/>
    <d v="2023-01-28T00:00:00"/>
    <s v="CUST940"/>
    <x v="1"/>
    <n v="20"/>
    <x v="0"/>
    <x v="2"/>
    <x v="2"/>
    <n v="30"/>
    <x v="2"/>
    <n v="0.44999999999999996"/>
  </r>
  <r>
    <n v="941"/>
    <n v="19"/>
    <s v="March"/>
    <n v="3"/>
    <n v="2023"/>
    <d v="2023-03-19T00:00:00"/>
    <s v="CUST941"/>
    <x v="1"/>
    <n v="57"/>
    <x v="0"/>
    <x v="1"/>
    <x v="1"/>
    <n v="25"/>
    <x v="5"/>
    <n v="0.75"/>
  </r>
  <r>
    <n v="942"/>
    <n v="18"/>
    <s v="March"/>
    <n v="3"/>
    <n v="2023"/>
    <d v="2023-03-18T00:00:00"/>
    <s v="CUST942"/>
    <x v="0"/>
    <n v="51"/>
    <x v="0"/>
    <x v="1"/>
    <x v="0"/>
    <n v="500"/>
    <x v="9"/>
    <n v="22.5"/>
  </r>
  <r>
    <n v="943"/>
    <n v="16"/>
    <s v="October"/>
    <n v="10"/>
    <n v="2023"/>
    <d v="2023-10-16T00:00:00"/>
    <s v="CUST943"/>
    <x v="1"/>
    <n v="57"/>
    <x v="0"/>
    <x v="1"/>
    <x v="3"/>
    <n v="300"/>
    <x v="14"/>
    <n v="18"/>
  </r>
  <r>
    <n v="944"/>
    <n v="5"/>
    <s v="June"/>
    <n v="6"/>
    <n v="2023"/>
    <d v="2023-06-05T00:00:00"/>
    <s v="CUST944"/>
    <x v="0"/>
    <n v="44"/>
    <x v="0"/>
    <x v="1"/>
    <x v="1"/>
    <n v="25"/>
    <x v="5"/>
    <n v="0.75"/>
  </r>
  <r>
    <n v="945"/>
    <n v="13"/>
    <s v="February"/>
    <n v="2"/>
    <n v="2023"/>
    <d v="2023-02-13T00:00:00"/>
    <s v="CUST945"/>
    <x v="0"/>
    <n v="30"/>
    <x v="0"/>
    <x v="0"/>
    <x v="2"/>
    <n v="25"/>
    <x v="16"/>
    <n v="0.375"/>
  </r>
  <r>
    <n v="946"/>
    <n v="8"/>
    <s v="May"/>
    <n v="5"/>
    <n v="2023"/>
    <d v="2023-05-08T00:00:00"/>
    <s v="CUST946"/>
    <x v="0"/>
    <n v="62"/>
    <x v="0"/>
    <x v="2"/>
    <x v="3"/>
    <n v="500"/>
    <x v="11"/>
    <n v="30"/>
  </r>
  <r>
    <n v="947"/>
    <n v="2"/>
    <s v="March"/>
    <n v="3"/>
    <n v="2023"/>
    <d v="2023-03-02T00:00:00"/>
    <s v="CUST947"/>
    <x v="0"/>
    <n v="50"/>
    <x v="0"/>
    <x v="0"/>
    <x v="2"/>
    <n v="300"/>
    <x v="13"/>
    <n v="4.5"/>
  </r>
  <r>
    <n v="948"/>
    <n v="13"/>
    <s v="October"/>
    <n v="10"/>
    <n v="2023"/>
    <d v="2023-10-13T00:00:00"/>
    <s v="CUST948"/>
    <x v="1"/>
    <n v="23"/>
    <x v="0"/>
    <x v="2"/>
    <x v="0"/>
    <n v="25"/>
    <x v="8"/>
    <n v="1.125"/>
  </r>
  <r>
    <n v="949"/>
    <n v="2"/>
    <s v="August"/>
    <n v="8"/>
    <n v="2023"/>
    <d v="2023-08-02T00:00:00"/>
    <s v="CUST949"/>
    <x v="1"/>
    <n v="41"/>
    <x v="0"/>
    <x v="2"/>
    <x v="1"/>
    <n v="25"/>
    <x v="5"/>
    <n v="0.75"/>
  </r>
  <r>
    <n v="950"/>
    <n v="7"/>
    <s v="November"/>
    <n v="11"/>
    <n v="2023"/>
    <d v="2023-11-07T00:00:00"/>
    <s v="CUST950"/>
    <x v="0"/>
    <n v="36"/>
    <x v="0"/>
    <x v="1"/>
    <x v="0"/>
    <n v="300"/>
    <x v="12"/>
    <n v="13.5"/>
  </r>
  <r>
    <n v="951"/>
    <n v="2"/>
    <s v="November"/>
    <n v="11"/>
    <n v="2023"/>
    <d v="2023-11-02T00:00:00"/>
    <s v="CUST951"/>
    <x v="0"/>
    <n v="33"/>
    <x v="0"/>
    <x v="0"/>
    <x v="1"/>
    <n v="50"/>
    <x v="4"/>
    <n v="1.5"/>
  </r>
  <r>
    <n v="952"/>
    <n v="13"/>
    <s v="November"/>
    <n v="11"/>
    <n v="2023"/>
    <d v="2023-11-13T00:00:00"/>
    <s v="CUST952"/>
    <x v="1"/>
    <n v="57"/>
    <x v="0"/>
    <x v="1"/>
    <x v="2"/>
    <n v="25"/>
    <x v="16"/>
    <n v="0.375"/>
  </r>
  <r>
    <n v="953"/>
    <n v="26"/>
    <s v="April"/>
    <n v="4"/>
    <n v="2023"/>
    <d v="2023-04-26T00:00:00"/>
    <s v="CUST953"/>
    <x v="0"/>
    <n v="45"/>
    <x v="0"/>
    <x v="0"/>
    <x v="0"/>
    <n v="30"/>
    <x v="15"/>
    <n v="1.3499999999999999"/>
  </r>
  <r>
    <n v="954"/>
    <n v="25"/>
    <s v="September"/>
    <n v="9"/>
    <n v="2023"/>
    <d v="2023-09-25T00:00:00"/>
    <s v="CUST954"/>
    <x v="1"/>
    <n v="50"/>
    <x v="0"/>
    <x v="2"/>
    <x v="0"/>
    <n v="300"/>
    <x v="12"/>
    <n v="13.5"/>
  </r>
  <r>
    <n v="955"/>
    <n v="14"/>
    <s v="July"/>
    <n v="7"/>
    <n v="2023"/>
    <d v="2023-07-14T00:00:00"/>
    <s v="CUST955"/>
    <x v="0"/>
    <n v="58"/>
    <x v="0"/>
    <x v="1"/>
    <x v="2"/>
    <n v="25"/>
    <x v="16"/>
    <n v="0.375"/>
  </r>
  <r>
    <n v="956"/>
    <n v="19"/>
    <s v="August"/>
    <n v="8"/>
    <n v="2023"/>
    <d v="2023-08-19T00:00:00"/>
    <s v="CUST956"/>
    <x v="0"/>
    <n v="30"/>
    <x v="0"/>
    <x v="1"/>
    <x v="0"/>
    <n v="500"/>
    <x v="9"/>
    <n v="22.5"/>
  </r>
  <r>
    <n v="957"/>
    <n v="15"/>
    <s v="August"/>
    <n v="8"/>
    <n v="2023"/>
    <d v="2023-08-15T00:00:00"/>
    <s v="CUST957"/>
    <x v="1"/>
    <n v="60"/>
    <x v="0"/>
    <x v="2"/>
    <x v="3"/>
    <n v="30"/>
    <x v="10"/>
    <n v="1.7999999999999998"/>
  </r>
  <r>
    <n v="958"/>
    <n v="2"/>
    <s v="June"/>
    <n v="6"/>
    <n v="2023"/>
    <d v="2023-06-02T00:00:00"/>
    <s v="CUST958"/>
    <x v="0"/>
    <n v="62"/>
    <x v="0"/>
    <x v="2"/>
    <x v="1"/>
    <n v="25"/>
    <x v="5"/>
    <n v="0.75"/>
  </r>
  <r>
    <n v="959"/>
    <n v="29"/>
    <s v="October"/>
    <n v="10"/>
    <n v="2023"/>
    <d v="2023-10-29T00:00:00"/>
    <s v="CUST959"/>
    <x v="1"/>
    <n v="42"/>
    <x v="0"/>
    <x v="2"/>
    <x v="1"/>
    <n v="30"/>
    <x v="17"/>
    <n v="0.89999999999999991"/>
  </r>
  <r>
    <n v="960"/>
    <n v="8"/>
    <s v="August"/>
    <n v="8"/>
    <n v="2023"/>
    <d v="2023-08-08T00:00:00"/>
    <s v="CUST960"/>
    <x v="0"/>
    <n v="59"/>
    <x v="0"/>
    <x v="1"/>
    <x v="1"/>
    <n v="30"/>
    <x v="17"/>
    <n v="0.89999999999999991"/>
  </r>
  <r>
    <n v="961"/>
    <n v="6"/>
    <s v="June"/>
    <n v="6"/>
    <n v="2023"/>
    <d v="2023-06-06T00:00:00"/>
    <s v="CUST961"/>
    <x v="0"/>
    <n v="53"/>
    <x v="0"/>
    <x v="0"/>
    <x v="3"/>
    <n v="50"/>
    <x v="7"/>
    <n v="3"/>
  </r>
  <r>
    <n v="962"/>
    <n v="19"/>
    <s v="October"/>
    <n v="10"/>
    <n v="2023"/>
    <d v="2023-10-19T00:00:00"/>
    <s v="CUST962"/>
    <x v="0"/>
    <n v="44"/>
    <x v="0"/>
    <x v="1"/>
    <x v="1"/>
    <n v="30"/>
    <x v="17"/>
    <n v="0.89999999999999991"/>
  </r>
  <r>
    <n v="963"/>
    <n v="14"/>
    <s v="November"/>
    <n v="11"/>
    <n v="2023"/>
    <d v="2023-11-14T00:00:00"/>
    <s v="CUST963"/>
    <x v="1"/>
    <n v="55"/>
    <x v="0"/>
    <x v="0"/>
    <x v="2"/>
    <n v="50"/>
    <x v="5"/>
    <n v="0.75"/>
  </r>
  <r>
    <n v="964"/>
    <n v="31"/>
    <s v="January"/>
    <n v="1"/>
    <n v="2023"/>
    <d v="2023-01-31T00:00:00"/>
    <s v="CUST964"/>
    <x v="0"/>
    <n v="24"/>
    <x v="0"/>
    <x v="1"/>
    <x v="0"/>
    <n v="300"/>
    <x v="12"/>
    <n v="13.5"/>
  </r>
  <r>
    <n v="965"/>
    <n v="9"/>
    <s v="November"/>
    <n v="11"/>
    <n v="2023"/>
    <d v="2023-11-09T00:00:00"/>
    <s v="CUST965"/>
    <x v="0"/>
    <n v="22"/>
    <x v="0"/>
    <x v="1"/>
    <x v="3"/>
    <n v="50"/>
    <x v="7"/>
    <n v="3"/>
  </r>
  <r>
    <n v="966"/>
    <n v="20"/>
    <s v="February"/>
    <n v="2"/>
    <n v="2023"/>
    <d v="2023-02-20T00:00:00"/>
    <s v="CUST966"/>
    <x v="0"/>
    <n v="60"/>
    <x v="0"/>
    <x v="2"/>
    <x v="1"/>
    <n v="500"/>
    <x v="1"/>
    <n v="15"/>
  </r>
  <r>
    <n v="967"/>
    <n v="17"/>
    <s v="April"/>
    <n v="4"/>
    <n v="2023"/>
    <d v="2023-04-17T00:00:00"/>
    <s v="CUST967"/>
    <x v="0"/>
    <n v="62"/>
    <x v="0"/>
    <x v="0"/>
    <x v="2"/>
    <n v="25"/>
    <x v="16"/>
    <n v="0.375"/>
  </r>
  <r>
    <n v="968"/>
    <n v="17"/>
    <s v="November"/>
    <n v="11"/>
    <n v="2023"/>
    <d v="2023-11-17T00:00:00"/>
    <s v="CUST968"/>
    <x v="1"/>
    <n v="48"/>
    <x v="0"/>
    <x v="1"/>
    <x v="0"/>
    <n v="300"/>
    <x v="12"/>
    <n v="13.5"/>
  </r>
  <r>
    <n v="969"/>
    <n v="19"/>
    <s v="April"/>
    <n v="4"/>
    <n v="2023"/>
    <d v="2023-04-19T00:00:00"/>
    <s v="CUST969"/>
    <x v="1"/>
    <n v="40"/>
    <x v="0"/>
    <x v="1"/>
    <x v="0"/>
    <n v="300"/>
    <x v="12"/>
    <n v="13.5"/>
  </r>
  <r>
    <n v="970"/>
    <n v="16"/>
    <s v="May"/>
    <n v="5"/>
    <n v="2023"/>
    <d v="2023-05-16T00:00:00"/>
    <s v="CUST970"/>
    <x v="0"/>
    <n v="59"/>
    <x v="0"/>
    <x v="2"/>
    <x v="3"/>
    <n v="500"/>
    <x v="11"/>
    <n v="30"/>
  </r>
  <r>
    <n v="971"/>
    <n v="5"/>
    <s v="December"/>
    <n v="12"/>
    <n v="2023"/>
    <d v="2023-12-05T00:00:00"/>
    <s v="CUST971"/>
    <x v="1"/>
    <n v="27"/>
    <x v="0"/>
    <x v="2"/>
    <x v="3"/>
    <n v="50"/>
    <x v="7"/>
    <n v="3"/>
  </r>
  <r>
    <n v="972"/>
    <n v="11"/>
    <s v="February"/>
    <n v="2"/>
    <n v="2023"/>
    <d v="2023-02-11T00:00:00"/>
    <s v="CUST972"/>
    <x v="0"/>
    <n v="49"/>
    <x v="0"/>
    <x v="0"/>
    <x v="3"/>
    <n v="25"/>
    <x v="4"/>
    <n v="1.5"/>
  </r>
  <r>
    <n v="973"/>
    <n v="22"/>
    <s v="March"/>
    <n v="3"/>
    <n v="2023"/>
    <d v="2023-03-22T00:00:00"/>
    <s v="CUST973"/>
    <x v="0"/>
    <n v="60"/>
    <x v="0"/>
    <x v="1"/>
    <x v="2"/>
    <n v="50"/>
    <x v="5"/>
    <n v="0.75"/>
  </r>
  <r>
    <n v="974"/>
    <n v="3"/>
    <s v="May"/>
    <n v="5"/>
    <n v="2023"/>
    <d v="2023-05-03T00:00:00"/>
    <s v="CUST974"/>
    <x v="0"/>
    <n v="47"/>
    <x v="0"/>
    <x v="0"/>
    <x v="2"/>
    <n v="30"/>
    <x v="2"/>
    <n v="0.44999999999999996"/>
  </r>
  <r>
    <n v="975"/>
    <n v="30"/>
    <s v="March"/>
    <n v="3"/>
    <n v="2023"/>
    <d v="2023-03-30T00:00:00"/>
    <s v="CUST975"/>
    <x v="1"/>
    <n v="56"/>
    <x v="0"/>
    <x v="1"/>
    <x v="3"/>
    <n v="50"/>
    <x v="7"/>
    <n v="3"/>
  </r>
  <r>
    <n v="976"/>
    <n v="10"/>
    <s v="October"/>
    <n v="10"/>
    <n v="2023"/>
    <d v="2023-10-10T00:00:00"/>
    <s v="CUST976"/>
    <x v="1"/>
    <n v="48"/>
    <x v="0"/>
    <x v="0"/>
    <x v="1"/>
    <n v="300"/>
    <x v="6"/>
    <n v="9"/>
  </r>
  <r>
    <n v="977"/>
    <n v="8"/>
    <s v="February"/>
    <n v="2"/>
    <n v="2023"/>
    <d v="2023-02-08T00:00:00"/>
    <s v="CUST977"/>
    <x v="1"/>
    <n v="35"/>
    <x v="0"/>
    <x v="2"/>
    <x v="0"/>
    <n v="25"/>
    <x v="8"/>
    <n v="1.125"/>
  </r>
  <r>
    <n v="978"/>
    <n v="22"/>
    <s v="March"/>
    <n v="3"/>
    <n v="2023"/>
    <d v="2023-03-22T00:00:00"/>
    <s v="CUST978"/>
    <x v="1"/>
    <n v="53"/>
    <x v="0"/>
    <x v="1"/>
    <x v="0"/>
    <n v="50"/>
    <x v="0"/>
    <n v="2.25"/>
  </r>
  <r>
    <n v="979"/>
    <n v="2"/>
    <s v="January"/>
    <n v="1"/>
    <n v="2023"/>
    <d v="2023-01-02T00:00:00"/>
    <s v="CUST979"/>
    <x v="1"/>
    <n v="19"/>
    <x v="0"/>
    <x v="0"/>
    <x v="2"/>
    <n v="25"/>
    <x v="16"/>
    <n v="0.375"/>
  </r>
  <r>
    <n v="980"/>
    <n v="29"/>
    <s v="July"/>
    <n v="7"/>
    <n v="2023"/>
    <d v="2023-07-29T00:00:00"/>
    <s v="CUST980"/>
    <x v="1"/>
    <n v="31"/>
    <x v="0"/>
    <x v="2"/>
    <x v="0"/>
    <n v="25"/>
    <x v="8"/>
    <n v="1.125"/>
  </r>
  <r>
    <n v="981"/>
    <n v="19"/>
    <s v="August"/>
    <n v="8"/>
    <n v="2023"/>
    <d v="2023-08-19T00:00:00"/>
    <s v="CUST981"/>
    <x v="1"/>
    <n v="30"/>
    <x v="0"/>
    <x v="2"/>
    <x v="1"/>
    <n v="30"/>
    <x v="17"/>
    <n v="0.89999999999999991"/>
  </r>
  <r>
    <n v="982"/>
    <n v="19"/>
    <s v="December"/>
    <n v="12"/>
    <n v="2023"/>
    <d v="2023-12-19T00:00:00"/>
    <s v="CUST982"/>
    <x v="1"/>
    <n v="46"/>
    <x v="0"/>
    <x v="0"/>
    <x v="0"/>
    <n v="30"/>
    <x v="15"/>
    <n v="1.3499999999999999"/>
  </r>
  <r>
    <n v="983"/>
    <n v="1"/>
    <s v="November"/>
    <n v="11"/>
    <n v="2023"/>
    <d v="2023-11-01T00:00:00"/>
    <s v="CUST983"/>
    <x v="1"/>
    <n v="29"/>
    <x v="0"/>
    <x v="1"/>
    <x v="2"/>
    <n v="300"/>
    <x v="13"/>
    <n v="4.5"/>
  </r>
  <r>
    <n v="984"/>
    <n v="29"/>
    <s v="August"/>
    <n v="8"/>
    <n v="2023"/>
    <d v="2023-08-29T00:00:00"/>
    <s v="CUST984"/>
    <x v="0"/>
    <n v="56"/>
    <x v="0"/>
    <x v="1"/>
    <x v="2"/>
    <n v="500"/>
    <x v="3"/>
    <n v="7.5"/>
  </r>
  <r>
    <n v="985"/>
    <n v="30"/>
    <s v="May"/>
    <n v="5"/>
    <n v="2023"/>
    <d v="2023-05-30T00:00:00"/>
    <s v="CUST985"/>
    <x v="1"/>
    <n v="19"/>
    <x v="0"/>
    <x v="2"/>
    <x v="1"/>
    <n v="25"/>
    <x v="5"/>
    <n v="0.75"/>
  </r>
  <r>
    <n v="986"/>
    <n v="17"/>
    <s v="January"/>
    <n v="1"/>
    <n v="2023"/>
    <d v="2023-01-17T00:00:00"/>
    <s v="CUST986"/>
    <x v="1"/>
    <n v="49"/>
    <x v="0"/>
    <x v="1"/>
    <x v="1"/>
    <n v="500"/>
    <x v="1"/>
    <n v="15"/>
  </r>
  <r>
    <n v="987"/>
    <n v="29"/>
    <s v="April"/>
    <n v="4"/>
    <n v="2023"/>
    <d v="2023-04-29T00:00:00"/>
    <s v="CUST987"/>
    <x v="1"/>
    <n v="30"/>
    <x v="0"/>
    <x v="1"/>
    <x v="0"/>
    <n v="300"/>
    <x v="12"/>
    <n v="13.5"/>
  </r>
  <r>
    <n v="988"/>
    <n v="28"/>
    <s v="May"/>
    <n v="5"/>
    <n v="2023"/>
    <d v="2023-05-28T00:00:00"/>
    <s v="CUST988"/>
    <x v="1"/>
    <n v="63"/>
    <x v="0"/>
    <x v="1"/>
    <x v="0"/>
    <n v="25"/>
    <x v="8"/>
    <n v="1.125"/>
  </r>
  <r>
    <n v="989"/>
    <n v="28"/>
    <s v="December"/>
    <n v="12"/>
    <n v="2023"/>
    <d v="2023-12-28T00:00:00"/>
    <s v="CUST989"/>
    <x v="1"/>
    <n v="44"/>
    <x v="0"/>
    <x v="2"/>
    <x v="2"/>
    <n v="25"/>
    <x v="16"/>
    <n v="0.375"/>
  </r>
  <r>
    <n v="990"/>
    <n v="25"/>
    <s v="May"/>
    <n v="5"/>
    <n v="2023"/>
    <d v="2023-05-25T00:00:00"/>
    <s v="CUST990"/>
    <x v="1"/>
    <n v="58"/>
    <x v="0"/>
    <x v="0"/>
    <x v="1"/>
    <n v="500"/>
    <x v="1"/>
    <n v="15"/>
  </r>
  <r>
    <n v="991"/>
    <n v="26"/>
    <s v="December"/>
    <n v="12"/>
    <n v="2023"/>
    <d v="2023-12-26T00:00:00"/>
    <s v="CUST991"/>
    <x v="1"/>
    <n v="34"/>
    <x v="0"/>
    <x v="1"/>
    <x v="1"/>
    <n v="50"/>
    <x v="4"/>
    <n v="1.5"/>
  </r>
  <r>
    <n v="992"/>
    <n v="21"/>
    <s v="August"/>
    <n v="8"/>
    <n v="2023"/>
    <d v="2023-08-21T00:00:00"/>
    <s v="CUST992"/>
    <x v="1"/>
    <n v="57"/>
    <x v="0"/>
    <x v="2"/>
    <x v="1"/>
    <n v="30"/>
    <x v="17"/>
    <n v="0.89999999999999991"/>
  </r>
  <r>
    <n v="993"/>
    <n v="6"/>
    <s v="February"/>
    <n v="2"/>
    <n v="2023"/>
    <d v="2023-02-06T00:00:00"/>
    <s v="CUST993"/>
    <x v="1"/>
    <n v="48"/>
    <x v="0"/>
    <x v="2"/>
    <x v="0"/>
    <n v="50"/>
    <x v="0"/>
    <n v="2.25"/>
  </r>
  <r>
    <n v="994"/>
    <n v="18"/>
    <s v="December"/>
    <n v="12"/>
    <n v="2023"/>
    <d v="2023-12-18T00:00:00"/>
    <s v="CUST994"/>
    <x v="1"/>
    <n v="51"/>
    <x v="0"/>
    <x v="0"/>
    <x v="1"/>
    <n v="500"/>
    <x v="1"/>
    <n v="15"/>
  </r>
  <r>
    <n v="995"/>
    <n v="30"/>
    <s v="April"/>
    <n v="4"/>
    <n v="2023"/>
    <d v="2023-04-30T00:00:00"/>
    <s v="CUST995"/>
    <x v="1"/>
    <n v="41"/>
    <x v="0"/>
    <x v="1"/>
    <x v="2"/>
    <n v="30"/>
    <x v="2"/>
    <n v="0.44999999999999996"/>
  </r>
  <r>
    <n v="996"/>
    <n v="16"/>
    <s v="May"/>
    <n v="5"/>
    <n v="2023"/>
    <d v="2023-05-16T00:00:00"/>
    <s v="CUST996"/>
    <x v="0"/>
    <n v="62"/>
    <x v="0"/>
    <x v="1"/>
    <x v="2"/>
    <n v="50"/>
    <x v="5"/>
    <n v="0.75"/>
  </r>
  <r>
    <n v="997"/>
    <n v="17"/>
    <s v="November"/>
    <n v="11"/>
    <n v="2023"/>
    <d v="2023-11-17T00:00:00"/>
    <s v="CUST997"/>
    <x v="0"/>
    <n v="52"/>
    <x v="0"/>
    <x v="0"/>
    <x v="0"/>
    <n v="30"/>
    <x v="15"/>
    <n v="1.3499999999999999"/>
  </r>
  <r>
    <n v="998"/>
    <n v="29"/>
    <s v="October"/>
    <n v="10"/>
    <n v="2023"/>
    <d v="2023-10-29T00:00:00"/>
    <s v="CUST998"/>
    <x v="1"/>
    <n v="23"/>
    <x v="0"/>
    <x v="0"/>
    <x v="3"/>
    <n v="25"/>
    <x v="4"/>
    <n v="1.5"/>
  </r>
  <r>
    <n v="999"/>
    <n v="5"/>
    <s v="December"/>
    <n v="12"/>
    <n v="2023"/>
    <d v="2023-12-05T00:00:00"/>
    <s v="CUST999"/>
    <x v="1"/>
    <n v="36"/>
    <x v="0"/>
    <x v="2"/>
    <x v="0"/>
    <n v="50"/>
    <x v="0"/>
    <n v="2.25"/>
  </r>
  <r>
    <n v="1000"/>
    <n v="12"/>
    <s v="April"/>
    <n v="4"/>
    <n v="2023"/>
    <d v="2023-04-12T00:00:00"/>
    <s v="CUST1000"/>
    <x v="0"/>
    <n v="47"/>
    <x v="0"/>
    <x v="2"/>
    <x v="3"/>
    <n v="30"/>
    <x v="1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900DE-2EBF-4845-9B1B-25A15AA50D12}" name="PivotTable7" cacheId="35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dataField="1" compact="0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numFmtId="165" outline="0" showAll="0"/>
  </pivotFields>
  <rowFields count="1">
    <field x="7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TOTAL SALE" fld="13" showDataAs="percentOfTotal" baseField="0" baseItem="0" numFmtId="10"/>
  </dataFields>
  <formats count="8">
    <format dxfId="15">
      <pivotArea type="all" dataOnly="0" outline="0" fieldPosition="0"/>
    </format>
    <format dxfId="16">
      <pivotArea outline="0" collapsedLevelsAreSubtotals="1" fieldPosition="0"/>
    </format>
    <format dxfId="17">
      <pivotArea type="origin" dataOnly="0" labelOnly="1" outline="0" fieldPosition="0"/>
    </format>
    <format dxfId="18">
      <pivotArea field="10" type="button" dataOnly="0" labelOnly="1" outline="0" axis="axisCol" fieldPosition="0"/>
    </format>
    <format dxfId="19">
      <pivotArea type="topRight" dataOnly="0" labelOnly="1" outline="0" fieldPosition="0"/>
    </format>
    <format dxfId="20">
      <pivotArea field="7" type="button" dataOnly="0" labelOnly="1" outline="0" axis="axisRow" fieldPosition="0"/>
    </format>
    <format dxfId="21">
      <pivotArea dataOnly="0" labelOnly="1" grandRow="1" outline="0" fieldPosition="0"/>
    </format>
    <format dxfId="22">
      <pivotArea dataOnly="0" labelOnly="1" grandCol="1" outline="0" fieldPosition="0"/>
    </format>
  </formats>
  <conditionalFormats count="4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C920D275-8DB4-4B58-8DA5-B426274E50CA}" sourceName="Generation ">
  <pivotTables>
    <pivotTable tabId="4" name="PivotTable7"/>
  </pivotTables>
  <data>
    <tabular pivotCacheId="171325618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B5E538A8-14DB-4F52-92B4-B49B34B0AF7F}" sourceName="Product Category">
  <pivotTables>
    <pivotTable tabId="4" name="PivotTable7"/>
  </pivotTables>
  <data>
    <tabular pivotCacheId="1713256182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ation " xr10:uid="{F10ECB6E-0B6F-4A9F-AB7E-EB8FB63DA270}" cache="Slicer_Generation" caption="Generation " rowHeight="228600"/>
  <slicer name="Product Category" xr10:uid="{4A9C4102-2AFE-41DA-B037-D4293758F8A1}" cache="Slicer_Product_Category" caption="Product 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33A5F-5264-4404-8DAA-4601BF6B781A}" name="Table1" displayName="Table1" ref="A3:O144" totalsRowShown="0">
  <autoFilter ref="A3:O144" xr:uid="{1C133A5F-5264-4404-8DAA-4601BF6B781A}"/>
  <sortState xmlns:xlrd2="http://schemas.microsoft.com/office/spreadsheetml/2017/richdata2" ref="A4:O144">
    <sortCondition ref="N3:N144"/>
  </sortState>
  <tableColumns count="15">
    <tableColumn id="1" xr3:uid="{B244276C-24A5-4E54-A8EC-2EB4E85ABA15}" name="Transaction ID"/>
    <tableColumn id="2" xr3:uid="{EDAB32BF-CBD5-4988-93FF-815B6CBB2FFF}" name="Day"/>
    <tableColumn id="3" xr3:uid="{140721DE-69C8-4D01-9C9E-32E93F83AD82}" name="Month Name "/>
    <tableColumn id="4" xr3:uid="{A6494AF8-A984-4893-A0CA-E4105AFD5F61}" name="Month"/>
    <tableColumn id="5" xr3:uid="{ECF64054-0BE3-4842-8759-8EEDB5853D61}" name="Year"/>
    <tableColumn id="6" xr3:uid="{85FBBAD5-94F9-493D-8BA3-D7BE6AE99DE5}" name="Date" dataDxfId="14"/>
    <tableColumn id="7" xr3:uid="{E2E172ED-26E7-41CB-BE76-E229E02CEABD}" name="Customer ID"/>
    <tableColumn id="8" xr3:uid="{2211AF18-8794-4712-A449-759212E60AB2}" name="Gender"/>
    <tableColumn id="9" xr3:uid="{9B402FE4-5381-4F27-A76F-8746E7486B85}" name="Age"/>
    <tableColumn id="10" xr3:uid="{5F6861D5-ABDA-4D7D-A74A-DBCDB8C6969B}" name="Generation "/>
    <tableColumn id="11" xr3:uid="{36E38667-C2B9-415F-B047-FA4500727987}" name="Product Category"/>
    <tableColumn id="12" xr3:uid="{010B053A-A163-4DC2-BB37-BD34591F7122}" name="Quantity"/>
    <tableColumn id="13" xr3:uid="{B8E6B05D-2F57-480A-BD1D-38BAC8BE4789}" name="Price per Unit"/>
    <tableColumn id="14" xr3:uid="{4BFBAC39-CED8-436E-9A21-FDA8DC37B10F}" name="TOTAL SALE"/>
    <tableColumn id="15" xr3:uid="{233F5604-2CB5-4799-ABBE-937AF17CDBD5}" name="COMMISION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BA65FB-E44E-453C-8EEF-3D76772BCA15}" name="Table2" displayName="Table2" ref="A1:P1001" totalsRowShown="0" headerRowDxfId="13" tableBorderDxfId="12">
  <autoFilter ref="A1:P1001" xr:uid="{80BA65FB-E44E-453C-8EEF-3D76772BCA15}"/>
  <sortState xmlns:xlrd2="http://schemas.microsoft.com/office/spreadsheetml/2017/richdata2" ref="A2:O1001">
    <sortCondition descending="1" ref="I1:I1001"/>
  </sortState>
  <tableColumns count="16">
    <tableColumn id="1" xr3:uid="{94A599F8-53C5-4760-A3CE-26CCECCBB31C}" name="Transaction ID" dataDxfId="11"/>
    <tableColumn id="2" xr3:uid="{5FDE2607-D17B-4F3D-AB7F-5C5ED24C6C30}" name="Day">
      <calculatedColumnFormula>DAY(F2)</calculatedColumnFormula>
    </tableColumn>
    <tableColumn id="3" xr3:uid="{A894DBBA-3516-4685-80EC-3EF016A09538}" name="Month Name ">
      <calculatedColumnFormula>TEXT(F2, "mmmm")</calculatedColumnFormula>
    </tableColumn>
    <tableColumn id="4" xr3:uid="{B5267579-F384-4283-B723-99174156DB5B}" name="Month" dataDxfId="10">
      <calculatedColumnFormula>MONTH(F2)</calculatedColumnFormula>
    </tableColumn>
    <tableColumn id="5" xr3:uid="{8789231B-D047-4A76-875C-A56494E4F6C6}" name="Year" dataDxfId="9">
      <calculatedColumnFormula>YEAR(F2)</calculatedColumnFormula>
    </tableColumn>
    <tableColumn id="6" xr3:uid="{A6A9A7C0-08D4-4A77-A781-B1C6B136F1B4}" name="Date" dataDxfId="8"/>
    <tableColumn id="7" xr3:uid="{851177F0-52C1-4D47-8568-3245F2DC3200}" name="Customer ID" dataDxfId="7"/>
    <tableColumn id="8" xr3:uid="{9E03A39B-362E-45F1-9827-F4709FFE6960}" name="Gender" dataDxfId="6"/>
    <tableColumn id="9" xr3:uid="{AE2DF253-D614-4E74-89D2-BBE3B9E8B127}" name="Age" dataDxfId="5"/>
    <tableColumn id="10" xr3:uid="{17CD0DC3-504C-4B58-AE9F-B2FD9F83E0DE}" name="Generation " dataDxfId="4"/>
    <tableColumn id="11" xr3:uid="{E53D2D3A-1F79-4A55-AD94-3F809498A8D9}" name="Product Category" dataDxfId="3"/>
    <tableColumn id="12" xr3:uid="{2A81DED5-51F3-4117-B438-FE63EB1A90EC}" name="Quantity" dataDxfId="2"/>
    <tableColumn id="13" xr3:uid="{60489B74-C5C9-4038-A564-8741427703A2}" name="Price per Unit" dataDxfId="1"/>
    <tableColumn id="14" xr3:uid="{1FF2747C-632B-4FC1-B2D4-518012901FDF}" name="TOTAL SALE">
      <calculatedColumnFormula>L2 * M2</calculatedColumnFormula>
    </tableColumn>
    <tableColumn id="15" xr3:uid="{43A6761E-C894-42D4-89FA-5E14430AF383}" name="COMMISION 2023" dataDxfId="0">
      <calculatedColumnFormula>N2 *$R$3</calculatedColumnFormula>
    </tableColumn>
    <tableColumn id="16" xr3:uid="{A10760B1-D7A6-4391-A7C7-F547BCDDFD69}" name="COMMISION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8D5D-A4EC-4BA0-AEE3-6DF373FA5405}">
  <dimension ref="A1:O144"/>
  <sheetViews>
    <sheetView workbookViewId="0"/>
  </sheetViews>
  <sheetFormatPr defaultRowHeight="15.6"/>
  <cols>
    <col min="1" max="1" width="15.125" bestFit="1" customWidth="1"/>
    <col min="3" max="3" width="14.5" bestFit="1" customWidth="1"/>
    <col min="6" max="6" width="10.625" bestFit="1" customWidth="1"/>
    <col min="7" max="7" width="13.25" bestFit="1" customWidth="1"/>
    <col min="8" max="8" width="9.125" bestFit="1" customWidth="1"/>
    <col min="10" max="10" width="12.875" bestFit="1" customWidth="1"/>
    <col min="11" max="11" width="17.5" bestFit="1" customWidth="1"/>
    <col min="12" max="12" width="10.375" bestFit="1" customWidth="1"/>
    <col min="13" max="13" width="14.375" bestFit="1" customWidth="1"/>
    <col min="14" max="14" width="12.875" bestFit="1" customWidth="1"/>
    <col min="15" max="15" width="18.25" bestFit="1" customWidth="1"/>
  </cols>
  <sheetData>
    <row r="1" spans="1:15">
      <c r="A1" s="1" t="s">
        <v>0</v>
      </c>
    </row>
    <row r="3" spans="1:1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>
      <c r="A4">
        <v>967</v>
      </c>
      <c r="B4">
        <v>17</v>
      </c>
      <c r="C4" t="s">
        <v>16</v>
      </c>
      <c r="D4">
        <v>4</v>
      </c>
      <c r="E4">
        <v>2023</v>
      </c>
      <c r="F4" s="17">
        <v>45033</v>
      </c>
      <c r="G4" t="s">
        <v>17</v>
      </c>
      <c r="H4" t="s">
        <v>18</v>
      </c>
      <c r="I4">
        <v>62</v>
      </c>
      <c r="K4" t="s">
        <v>19</v>
      </c>
      <c r="L4">
        <v>1</v>
      </c>
      <c r="M4">
        <v>25</v>
      </c>
      <c r="N4">
        <v>25</v>
      </c>
      <c r="O4">
        <v>0.375</v>
      </c>
    </row>
    <row r="5" spans="1:15">
      <c r="A5">
        <v>945</v>
      </c>
      <c r="B5">
        <v>13</v>
      </c>
      <c r="C5" t="s">
        <v>20</v>
      </c>
      <c r="D5">
        <v>2</v>
      </c>
      <c r="E5">
        <v>2023</v>
      </c>
      <c r="F5" s="17">
        <v>44970</v>
      </c>
      <c r="G5" t="s">
        <v>21</v>
      </c>
      <c r="H5" t="s">
        <v>18</v>
      </c>
      <c r="I5">
        <v>30</v>
      </c>
      <c r="K5" t="s">
        <v>19</v>
      </c>
      <c r="L5">
        <v>1</v>
      </c>
      <c r="M5">
        <v>25</v>
      </c>
      <c r="N5">
        <v>25</v>
      </c>
      <c r="O5">
        <v>0.375</v>
      </c>
    </row>
    <row r="6" spans="1:15">
      <c r="A6">
        <v>855</v>
      </c>
      <c r="B6">
        <v>1</v>
      </c>
      <c r="C6" t="s">
        <v>22</v>
      </c>
      <c r="D6">
        <v>9</v>
      </c>
      <c r="E6">
        <v>2023</v>
      </c>
      <c r="F6" s="17">
        <v>45170</v>
      </c>
      <c r="G6" t="s">
        <v>23</v>
      </c>
      <c r="H6" t="s">
        <v>18</v>
      </c>
      <c r="I6">
        <v>54</v>
      </c>
      <c r="K6" t="s">
        <v>19</v>
      </c>
      <c r="L6">
        <v>1</v>
      </c>
      <c r="M6">
        <v>25</v>
      </c>
      <c r="N6">
        <v>25</v>
      </c>
      <c r="O6">
        <v>0.375</v>
      </c>
    </row>
    <row r="7" spans="1:15">
      <c r="A7">
        <v>739</v>
      </c>
      <c r="B7">
        <v>29</v>
      </c>
      <c r="C7" t="s">
        <v>24</v>
      </c>
      <c r="D7">
        <v>11</v>
      </c>
      <c r="E7">
        <v>2023</v>
      </c>
      <c r="F7" s="17">
        <v>45259</v>
      </c>
      <c r="G7" t="s">
        <v>25</v>
      </c>
      <c r="H7" t="s">
        <v>18</v>
      </c>
      <c r="I7">
        <v>36</v>
      </c>
      <c r="K7" t="s">
        <v>19</v>
      </c>
      <c r="L7">
        <v>1</v>
      </c>
      <c r="M7">
        <v>25</v>
      </c>
      <c r="N7">
        <v>25</v>
      </c>
      <c r="O7">
        <v>0.375</v>
      </c>
    </row>
    <row r="8" spans="1:15">
      <c r="A8">
        <v>363</v>
      </c>
      <c r="B8">
        <v>3</v>
      </c>
      <c r="C8" t="s">
        <v>26</v>
      </c>
      <c r="D8">
        <v>6</v>
      </c>
      <c r="E8">
        <v>2023</v>
      </c>
      <c r="F8" s="17">
        <v>45080</v>
      </c>
      <c r="G8" t="s">
        <v>27</v>
      </c>
      <c r="H8" t="s">
        <v>18</v>
      </c>
      <c r="I8">
        <v>64</v>
      </c>
      <c r="K8" t="s">
        <v>19</v>
      </c>
      <c r="L8">
        <v>1</v>
      </c>
      <c r="M8">
        <v>25</v>
      </c>
      <c r="N8">
        <v>25</v>
      </c>
      <c r="O8">
        <v>0.375</v>
      </c>
    </row>
    <row r="9" spans="1:15">
      <c r="A9">
        <v>230</v>
      </c>
      <c r="B9">
        <v>23</v>
      </c>
      <c r="C9" t="s">
        <v>16</v>
      </c>
      <c r="D9">
        <v>4</v>
      </c>
      <c r="E9">
        <v>2023</v>
      </c>
      <c r="F9" s="17">
        <v>45039</v>
      </c>
      <c r="G9" t="s">
        <v>28</v>
      </c>
      <c r="H9" t="s">
        <v>18</v>
      </c>
      <c r="I9">
        <v>54</v>
      </c>
      <c r="K9" t="s">
        <v>19</v>
      </c>
      <c r="L9">
        <v>1</v>
      </c>
      <c r="M9">
        <v>25</v>
      </c>
      <c r="N9">
        <v>25</v>
      </c>
      <c r="O9">
        <v>0.375</v>
      </c>
    </row>
    <row r="10" spans="1:15">
      <c r="A10">
        <v>204</v>
      </c>
      <c r="B10">
        <v>28</v>
      </c>
      <c r="C10" t="s">
        <v>22</v>
      </c>
      <c r="D10">
        <v>9</v>
      </c>
      <c r="E10">
        <v>2023</v>
      </c>
      <c r="F10" s="17">
        <v>45197</v>
      </c>
      <c r="G10" t="s">
        <v>29</v>
      </c>
      <c r="H10" t="s">
        <v>18</v>
      </c>
      <c r="I10">
        <v>39</v>
      </c>
      <c r="K10" t="s">
        <v>19</v>
      </c>
      <c r="L10">
        <v>1</v>
      </c>
      <c r="M10">
        <v>25</v>
      </c>
      <c r="N10">
        <v>25</v>
      </c>
      <c r="O10">
        <v>0.375</v>
      </c>
    </row>
    <row r="11" spans="1:15">
      <c r="A11">
        <v>191</v>
      </c>
      <c r="B11">
        <v>18</v>
      </c>
      <c r="C11" t="s">
        <v>30</v>
      </c>
      <c r="D11">
        <v>10</v>
      </c>
      <c r="E11">
        <v>2023</v>
      </c>
      <c r="F11" s="17">
        <v>45217</v>
      </c>
      <c r="G11" t="s">
        <v>31</v>
      </c>
      <c r="H11" t="s">
        <v>18</v>
      </c>
      <c r="I11">
        <v>64</v>
      </c>
      <c r="K11" t="s">
        <v>19</v>
      </c>
      <c r="L11">
        <v>1</v>
      </c>
      <c r="M11">
        <v>25</v>
      </c>
      <c r="N11">
        <v>25</v>
      </c>
      <c r="O11">
        <v>0.375</v>
      </c>
    </row>
    <row r="12" spans="1:15">
      <c r="A12">
        <v>974</v>
      </c>
      <c r="B12">
        <v>3</v>
      </c>
      <c r="C12" t="s">
        <v>32</v>
      </c>
      <c r="D12">
        <v>5</v>
      </c>
      <c r="E12">
        <v>2023</v>
      </c>
      <c r="F12" s="17">
        <v>45049</v>
      </c>
      <c r="G12" t="s">
        <v>33</v>
      </c>
      <c r="H12" t="s">
        <v>18</v>
      </c>
      <c r="I12">
        <v>47</v>
      </c>
      <c r="K12" t="s">
        <v>19</v>
      </c>
      <c r="L12">
        <v>1</v>
      </c>
      <c r="M12">
        <v>30</v>
      </c>
      <c r="N12">
        <v>30</v>
      </c>
      <c r="O12">
        <v>0.44999999999999996</v>
      </c>
    </row>
    <row r="13" spans="1:15">
      <c r="A13">
        <v>933</v>
      </c>
      <c r="B13">
        <v>3</v>
      </c>
      <c r="C13" t="s">
        <v>20</v>
      </c>
      <c r="D13">
        <v>2</v>
      </c>
      <c r="E13">
        <v>2023</v>
      </c>
      <c r="F13" s="17">
        <v>44960</v>
      </c>
      <c r="G13" t="s">
        <v>34</v>
      </c>
      <c r="H13" t="s">
        <v>18</v>
      </c>
      <c r="I13">
        <v>22</v>
      </c>
      <c r="K13" t="s">
        <v>19</v>
      </c>
      <c r="L13">
        <v>1</v>
      </c>
      <c r="M13">
        <v>30</v>
      </c>
      <c r="N13">
        <v>30</v>
      </c>
      <c r="O13">
        <v>0.44999999999999996</v>
      </c>
    </row>
    <row r="14" spans="1:15">
      <c r="A14">
        <v>874</v>
      </c>
      <c r="B14">
        <v>26</v>
      </c>
      <c r="C14" t="s">
        <v>26</v>
      </c>
      <c r="D14">
        <v>6</v>
      </c>
      <c r="E14">
        <v>2023</v>
      </c>
      <c r="F14" s="17">
        <v>45103</v>
      </c>
      <c r="G14" t="s">
        <v>35</v>
      </c>
      <c r="H14" t="s">
        <v>18</v>
      </c>
      <c r="I14">
        <v>60</v>
      </c>
      <c r="K14" t="s">
        <v>19</v>
      </c>
      <c r="L14">
        <v>1</v>
      </c>
      <c r="M14">
        <v>30</v>
      </c>
      <c r="N14">
        <v>30</v>
      </c>
      <c r="O14">
        <v>0.44999999999999996</v>
      </c>
    </row>
    <row r="15" spans="1:15">
      <c r="A15">
        <v>793</v>
      </c>
      <c r="B15">
        <v>5</v>
      </c>
      <c r="C15" t="s">
        <v>20</v>
      </c>
      <c r="D15">
        <v>2</v>
      </c>
      <c r="E15">
        <v>2023</v>
      </c>
      <c r="F15" s="17">
        <v>44962</v>
      </c>
      <c r="G15" t="s">
        <v>36</v>
      </c>
      <c r="H15" t="s">
        <v>18</v>
      </c>
      <c r="I15">
        <v>54</v>
      </c>
      <c r="K15" t="s">
        <v>19</v>
      </c>
      <c r="L15">
        <v>1</v>
      </c>
      <c r="M15">
        <v>30</v>
      </c>
      <c r="N15">
        <v>30</v>
      </c>
      <c r="O15">
        <v>0.44999999999999996</v>
      </c>
    </row>
    <row r="16" spans="1:15">
      <c r="A16">
        <v>749</v>
      </c>
      <c r="B16">
        <v>3</v>
      </c>
      <c r="C16" t="s">
        <v>32</v>
      </c>
      <c r="D16">
        <v>5</v>
      </c>
      <c r="E16">
        <v>2023</v>
      </c>
      <c r="F16" s="17">
        <v>45049</v>
      </c>
      <c r="G16" t="s">
        <v>37</v>
      </c>
      <c r="H16" t="s">
        <v>18</v>
      </c>
      <c r="I16">
        <v>42</v>
      </c>
      <c r="K16" t="s">
        <v>19</v>
      </c>
      <c r="L16">
        <v>1</v>
      </c>
      <c r="M16">
        <v>30</v>
      </c>
      <c r="N16">
        <v>30</v>
      </c>
      <c r="O16">
        <v>0.44999999999999996</v>
      </c>
    </row>
    <row r="17" spans="1:15">
      <c r="A17">
        <v>747</v>
      </c>
      <c r="B17">
        <v>15</v>
      </c>
      <c r="C17" t="s">
        <v>24</v>
      </c>
      <c r="D17">
        <v>11</v>
      </c>
      <c r="E17">
        <v>2023</v>
      </c>
      <c r="F17" s="17">
        <v>45245</v>
      </c>
      <c r="G17" t="s">
        <v>38</v>
      </c>
      <c r="H17" t="s">
        <v>18</v>
      </c>
      <c r="I17">
        <v>23</v>
      </c>
      <c r="K17" t="s">
        <v>19</v>
      </c>
      <c r="L17">
        <v>1</v>
      </c>
      <c r="M17">
        <v>30</v>
      </c>
      <c r="N17">
        <v>30</v>
      </c>
      <c r="O17">
        <v>0.44999999999999996</v>
      </c>
    </row>
    <row r="18" spans="1:15">
      <c r="A18">
        <v>733</v>
      </c>
      <c r="B18">
        <v>29</v>
      </c>
      <c r="C18" t="s">
        <v>39</v>
      </c>
      <c r="D18">
        <v>8</v>
      </c>
      <c r="E18">
        <v>2023</v>
      </c>
      <c r="F18" s="17">
        <v>45167</v>
      </c>
      <c r="G18" t="s">
        <v>40</v>
      </c>
      <c r="H18" t="s">
        <v>18</v>
      </c>
      <c r="I18">
        <v>34</v>
      </c>
      <c r="K18" t="s">
        <v>19</v>
      </c>
      <c r="L18">
        <v>1</v>
      </c>
      <c r="M18">
        <v>30</v>
      </c>
      <c r="N18">
        <v>30</v>
      </c>
      <c r="O18">
        <v>0.44999999999999996</v>
      </c>
    </row>
    <row r="19" spans="1:15">
      <c r="A19">
        <v>670</v>
      </c>
      <c r="B19">
        <v>5</v>
      </c>
      <c r="C19" t="s">
        <v>30</v>
      </c>
      <c r="D19">
        <v>10</v>
      </c>
      <c r="E19">
        <v>2023</v>
      </c>
      <c r="F19" s="17">
        <v>45204</v>
      </c>
      <c r="G19" t="s">
        <v>41</v>
      </c>
      <c r="H19" t="s">
        <v>18</v>
      </c>
      <c r="I19">
        <v>27</v>
      </c>
      <c r="K19" t="s">
        <v>19</v>
      </c>
      <c r="L19">
        <v>1</v>
      </c>
      <c r="M19">
        <v>30</v>
      </c>
      <c r="N19">
        <v>30</v>
      </c>
      <c r="O19">
        <v>0.44999999999999996</v>
      </c>
    </row>
    <row r="20" spans="1:15">
      <c r="A20">
        <v>387</v>
      </c>
      <c r="B20">
        <v>4</v>
      </c>
      <c r="C20" t="s">
        <v>26</v>
      </c>
      <c r="D20">
        <v>6</v>
      </c>
      <c r="E20">
        <v>2023</v>
      </c>
      <c r="F20" s="17">
        <v>45081</v>
      </c>
      <c r="G20" t="s">
        <v>42</v>
      </c>
      <c r="H20" t="s">
        <v>18</v>
      </c>
      <c r="I20">
        <v>44</v>
      </c>
      <c r="K20" t="s">
        <v>19</v>
      </c>
      <c r="L20">
        <v>1</v>
      </c>
      <c r="M20">
        <v>30</v>
      </c>
      <c r="N20">
        <v>30</v>
      </c>
      <c r="O20">
        <v>0.44999999999999996</v>
      </c>
    </row>
    <row r="21" spans="1:15">
      <c r="A21">
        <v>846</v>
      </c>
      <c r="B21">
        <v>22</v>
      </c>
      <c r="C21" t="s">
        <v>22</v>
      </c>
      <c r="D21">
        <v>9</v>
      </c>
      <c r="E21">
        <v>2023</v>
      </c>
      <c r="F21" s="17">
        <v>45191</v>
      </c>
      <c r="G21" t="s">
        <v>43</v>
      </c>
      <c r="H21" t="s">
        <v>18</v>
      </c>
      <c r="I21">
        <v>42</v>
      </c>
      <c r="K21" t="s">
        <v>19</v>
      </c>
      <c r="L21">
        <v>1</v>
      </c>
      <c r="M21">
        <v>50</v>
      </c>
      <c r="N21">
        <v>50</v>
      </c>
      <c r="O21">
        <v>0.75</v>
      </c>
    </row>
    <row r="22" spans="1:15">
      <c r="A22">
        <v>40</v>
      </c>
      <c r="B22">
        <v>22</v>
      </c>
      <c r="C22" t="s">
        <v>26</v>
      </c>
      <c r="D22">
        <v>6</v>
      </c>
      <c r="E22">
        <v>2023</v>
      </c>
      <c r="F22" s="17">
        <v>45099</v>
      </c>
      <c r="G22" t="s">
        <v>44</v>
      </c>
      <c r="H22" t="s">
        <v>18</v>
      </c>
      <c r="I22">
        <v>45</v>
      </c>
      <c r="K22" t="s">
        <v>19</v>
      </c>
      <c r="L22">
        <v>1</v>
      </c>
      <c r="M22">
        <v>50</v>
      </c>
      <c r="N22">
        <v>50</v>
      </c>
      <c r="O22">
        <v>0.75</v>
      </c>
    </row>
    <row r="23" spans="1:15">
      <c r="A23">
        <v>811</v>
      </c>
      <c r="B23">
        <v>19</v>
      </c>
      <c r="C23" t="s">
        <v>32</v>
      </c>
      <c r="D23">
        <v>5</v>
      </c>
      <c r="E23">
        <v>2023</v>
      </c>
      <c r="F23" s="17">
        <v>45065</v>
      </c>
      <c r="G23" t="s">
        <v>45</v>
      </c>
      <c r="H23" t="s">
        <v>18</v>
      </c>
      <c r="I23">
        <v>61</v>
      </c>
      <c r="K23" t="s">
        <v>19</v>
      </c>
      <c r="L23">
        <v>2</v>
      </c>
      <c r="M23">
        <v>25</v>
      </c>
      <c r="N23">
        <v>50</v>
      </c>
      <c r="O23">
        <v>0.75</v>
      </c>
    </row>
    <row r="24" spans="1:15">
      <c r="A24">
        <v>505</v>
      </c>
      <c r="B24">
        <v>20</v>
      </c>
      <c r="C24" t="s">
        <v>46</v>
      </c>
      <c r="D24">
        <v>1</v>
      </c>
      <c r="E24">
        <v>2023</v>
      </c>
      <c r="F24" s="17">
        <v>44946</v>
      </c>
      <c r="G24" t="s">
        <v>47</v>
      </c>
      <c r="H24" t="s">
        <v>18</v>
      </c>
      <c r="I24">
        <v>24</v>
      </c>
      <c r="K24" t="s">
        <v>19</v>
      </c>
      <c r="L24">
        <v>1</v>
      </c>
      <c r="M24">
        <v>50</v>
      </c>
      <c r="N24">
        <v>50</v>
      </c>
      <c r="O24">
        <v>0.75</v>
      </c>
    </row>
    <row r="25" spans="1:15">
      <c r="A25">
        <v>493</v>
      </c>
      <c r="B25">
        <v>25</v>
      </c>
      <c r="C25" t="s">
        <v>24</v>
      </c>
      <c r="D25">
        <v>11</v>
      </c>
      <c r="E25">
        <v>2023</v>
      </c>
      <c r="F25" s="17">
        <v>45255</v>
      </c>
      <c r="G25" t="s">
        <v>48</v>
      </c>
      <c r="H25" t="s">
        <v>18</v>
      </c>
      <c r="I25">
        <v>41</v>
      </c>
      <c r="K25" t="s">
        <v>19</v>
      </c>
      <c r="L25">
        <v>2</v>
      </c>
      <c r="M25">
        <v>25</v>
      </c>
      <c r="N25">
        <v>50</v>
      </c>
      <c r="O25">
        <v>0.75</v>
      </c>
    </row>
    <row r="26" spans="1:15">
      <c r="A26">
        <v>473</v>
      </c>
      <c r="B26">
        <v>25</v>
      </c>
      <c r="C26" t="s">
        <v>20</v>
      </c>
      <c r="D26">
        <v>2</v>
      </c>
      <c r="E26">
        <v>2023</v>
      </c>
      <c r="F26" s="17">
        <v>44982</v>
      </c>
      <c r="G26" t="s">
        <v>49</v>
      </c>
      <c r="H26" t="s">
        <v>18</v>
      </c>
      <c r="I26">
        <v>64</v>
      </c>
      <c r="K26" t="s">
        <v>19</v>
      </c>
      <c r="L26">
        <v>1</v>
      </c>
      <c r="M26">
        <v>50</v>
      </c>
      <c r="N26">
        <v>50</v>
      </c>
      <c r="O26">
        <v>0.75</v>
      </c>
    </row>
    <row r="27" spans="1:15">
      <c r="A27">
        <v>460</v>
      </c>
      <c r="B27">
        <v>2</v>
      </c>
      <c r="C27" t="s">
        <v>32</v>
      </c>
      <c r="D27">
        <v>5</v>
      </c>
      <c r="E27">
        <v>2023</v>
      </c>
      <c r="F27" s="17">
        <v>45048</v>
      </c>
      <c r="G27" t="s">
        <v>50</v>
      </c>
      <c r="H27" t="s">
        <v>18</v>
      </c>
      <c r="I27">
        <v>40</v>
      </c>
      <c r="K27" t="s">
        <v>19</v>
      </c>
      <c r="L27">
        <v>1</v>
      </c>
      <c r="M27">
        <v>50</v>
      </c>
      <c r="N27">
        <v>50</v>
      </c>
      <c r="O27">
        <v>0.75</v>
      </c>
    </row>
    <row r="28" spans="1:15">
      <c r="A28">
        <v>391</v>
      </c>
      <c r="B28">
        <v>5</v>
      </c>
      <c r="C28" t="s">
        <v>46</v>
      </c>
      <c r="D28">
        <v>1</v>
      </c>
      <c r="E28">
        <v>2023</v>
      </c>
      <c r="F28" s="17">
        <v>44931</v>
      </c>
      <c r="G28" t="s">
        <v>51</v>
      </c>
      <c r="H28" t="s">
        <v>18</v>
      </c>
      <c r="I28">
        <v>19</v>
      </c>
      <c r="K28" t="s">
        <v>19</v>
      </c>
      <c r="L28">
        <v>2</v>
      </c>
      <c r="M28">
        <v>25</v>
      </c>
      <c r="N28">
        <v>50</v>
      </c>
      <c r="O28">
        <v>0.75</v>
      </c>
    </row>
    <row r="29" spans="1:15">
      <c r="A29">
        <v>120</v>
      </c>
      <c r="B29">
        <v>7</v>
      </c>
      <c r="C29" t="s">
        <v>32</v>
      </c>
      <c r="D29">
        <v>5</v>
      </c>
      <c r="E29">
        <v>2023</v>
      </c>
      <c r="F29" s="17">
        <v>45053</v>
      </c>
      <c r="G29" t="s">
        <v>52</v>
      </c>
      <c r="H29" t="s">
        <v>18</v>
      </c>
      <c r="I29">
        <v>60</v>
      </c>
      <c r="K29" t="s">
        <v>19</v>
      </c>
      <c r="L29">
        <v>1</v>
      </c>
      <c r="M29">
        <v>50</v>
      </c>
      <c r="N29">
        <v>50</v>
      </c>
      <c r="O29">
        <v>0.75</v>
      </c>
    </row>
    <row r="30" spans="1:15">
      <c r="A30">
        <v>189</v>
      </c>
      <c r="B30">
        <v>30</v>
      </c>
      <c r="C30" t="s">
        <v>46</v>
      </c>
      <c r="D30">
        <v>1</v>
      </c>
      <c r="E30">
        <v>2023</v>
      </c>
      <c r="F30" s="17">
        <v>44956</v>
      </c>
      <c r="G30" t="s">
        <v>53</v>
      </c>
      <c r="H30" t="s">
        <v>18</v>
      </c>
      <c r="I30">
        <v>63</v>
      </c>
      <c r="K30" t="s">
        <v>19</v>
      </c>
      <c r="L30">
        <v>1</v>
      </c>
      <c r="M30">
        <v>50</v>
      </c>
      <c r="N30">
        <v>50</v>
      </c>
      <c r="O30">
        <v>0.75</v>
      </c>
    </row>
    <row r="31" spans="1:15">
      <c r="A31">
        <v>172</v>
      </c>
      <c r="B31">
        <v>17</v>
      </c>
      <c r="C31" t="s">
        <v>22</v>
      </c>
      <c r="D31">
        <v>9</v>
      </c>
      <c r="E31">
        <v>2023</v>
      </c>
      <c r="F31" s="17">
        <v>45186</v>
      </c>
      <c r="G31" t="s">
        <v>54</v>
      </c>
      <c r="H31" t="s">
        <v>18</v>
      </c>
      <c r="I31">
        <v>32</v>
      </c>
      <c r="K31" t="s">
        <v>19</v>
      </c>
      <c r="L31">
        <v>2</v>
      </c>
      <c r="M31">
        <v>25</v>
      </c>
      <c r="N31">
        <v>50</v>
      </c>
      <c r="O31">
        <v>0.75</v>
      </c>
    </row>
    <row r="32" spans="1:15">
      <c r="A32">
        <v>871</v>
      </c>
      <c r="B32">
        <v>31</v>
      </c>
      <c r="C32" t="s">
        <v>39</v>
      </c>
      <c r="D32">
        <v>8</v>
      </c>
      <c r="E32">
        <v>2023</v>
      </c>
      <c r="F32" s="17">
        <v>45169</v>
      </c>
      <c r="G32" t="s">
        <v>55</v>
      </c>
      <c r="H32" t="s">
        <v>18</v>
      </c>
      <c r="I32">
        <v>62</v>
      </c>
      <c r="K32" t="s">
        <v>19</v>
      </c>
      <c r="L32">
        <v>2</v>
      </c>
      <c r="M32">
        <v>30</v>
      </c>
      <c r="N32">
        <v>60</v>
      </c>
      <c r="O32">
        <v>0.89999999999999991</v>
      </c>
    </row>
    <row r="33" spans="1:15">
      <c r="A33">
        <v>573</v>
      </c>
      <c r="B33">
        <v>19</v>
      </c>
      <c r="C33" t="s">
        <v>22</v>
      </c>
      <c r="D33">
        <v>9</v>
      </c>
      <c r="E33">
        <v>2023</v>
      </c>
      <c r="F33" s="17">
        <v>45188</v>
      </c>
      <c r="G33" t="s">
        <v>56</v>
      </c>
      <c r="H33" t="s">
        <v>18</v>
      </c>
      <c r="I33">
        <v>49</v>
      </c>
      <c r="K33" t="s">
        <v>19</v>
      </c>
      <c r="L33">
        <v>2</v>
      </c>
      <c r="M33">
        <v>30</v>
      </c>
      <c r="N33">
        <v>60</v>
      </c>
      <c r="O33">
        <v>0.89999999999999991</v>
      </c>
    </row>
    <row r="34" spans="1:15">
      <c r="A34">
        <v>499</v>
      </c>
      <c r="B34">
        <v>15</v>
      </c>
      <c r="C34" t="s">
        <v>46</v>
      </c>
      <c r="D34">
        <v>1</v>
      </c>
      <c r="E34">
        <v>2023</v>
      </c>
      <c r="F34" s="17">
        <v>44941</v>
      </c>
      <c r="G34" t="s">
        <v>57</v>
      </c>
      <c r="H34" t="s">
        <v>18</v>
      </c>
      <c r="I34">
        <v>46</v>
      </c>
      <c r="K34" t="s">
        <v>19</v>
      </c>
      <c r="L34">
        <v>2</v>
      </c>
      <c r="M34">
        <v>30</v>
      </c>
      <c r="N34">
        <v>60</v>
      </c>
      <c r="O34">
        <v>0.89999999999999991</v>
      </c>
    </row>
    <row r="35" spans="1:15">
      <c r="A35">
        <v>495</v>
      </c>
      <c r="B35">
        <v>24</v>
      </c>
      <c r="C35" t="s">
        <v>58</v>
      </c>
      <c r="D35">
        <v>7</v>
      </c>
      <c r="E35">
        <v>2023</v>
      </c>
      <c r="F35" s="17">
        <v>45131</v>
      </c>
      <c r="G35" t="s">
        <v>59</v>
      </c>
      <c r="H35" t="s">
        <v>18</v>
      </c>
      <c r="I35">
        <v>24</v>
      </c>
      <c r="K35" t="s">
        <v>19</v>
      </c>
      <c r="L35">
        <v>2</v>
      </c>
      <c r="M35">
        <v>30</v>
      </c>
      <c r="N35">
        <v>60</v>
      </c>
      <c r="O35">
        <v>0.89999999999999991</v>
      </c>
    </row>
    <row r="36" spans="1:15">
      <c r="A36">
        <v>263</v>
      </c>
      <c r="B36">
        <v>28</v>
      </c>
      <c r="C36" t="s">
        <v>39</v>
      </c>
      <c r="D36">
        <v>8</v>
      </c>
      <c r="E36">
        <v>2023</v>
      </c>
      <c r="F36" s="17">
        <v>45166</v>
      </c>
      <c r="G36" t="s">
        <v>60</v>
      </c>
      <c r="H36" t="s">
        <v>18</v>
      </c>
      <c r="I36">
        <v>23</v>
      </c>
      <c r="K36" t="s">
        <v>19</v>
      </c>
      <c r="L36">
        <v>2</v>
      </c>
      <c r="M36">
        <v>30</v>
      </c>
      <c r="N36">
        <v>60</v>
      </c>
      <c r="O36">
        <v>0.89999999999999991</v>
      </c>
    </row>
    <row r="37" spans="1:15">
      <c r="A37">
        <v>260</v>
      </c>
      <c r="B37">
        <v>1</v>
      </c>
      <c r="C37" t="s">
        <v>58</v>
      </c>
      <c r="D37">
        <v>7</v>
      </c>
      <c r="E37">
        <v>2023</v>
      </c>
      <c r="F37" s="17">
        <v>45108</v>
      </c>
      <c r="G37" t="s">
        <v>61</v>
      </c>
      <c r="H37" t="s">
        <v>18</v>
      </c>
      <c r="I37">
        <v>28</v>
      </c>
      <c r="K37" t="s">
        <v>19</v>
      </c>
      <c r="L37">
        <v>2</v>
      </c>
      <c r="M37">
        <v>30</v>
      </c>
      <c r="N37">
        <v>60</v>
      </c>
      <c r="O37">
        <v>0.89999999999999991</v>
      </c>
    </row>
    <row r="38" spans="1:15">
      <c r="A38">
        <v>214</v>
      </c>
      <c r="B38">
        <v>10</v>
      </c>
      <c r="C38" t="s">
        <v>62</v>
      </c>
      <c r="D38">
        <v>12</v>
      </c>
      <c r="E38">
        <v>2023</v>
      </c>
      <c r="F38" s="17">
        <v>45270</v>
      </c>
      <c r="G38" t="s">
        <v>63</v>
      </c>
      <c r="H38" t="s">
        <v>18</v>
      </c>
      <c r="I38">
        <v>20</v>
      </c>
      <c r="K38" t="s">
        <v>19</v>
      </c>
      <c r="L38">
        <v>2</v>
      </c>
      <c r="M38">
        <v>30</v>
      </c>
      <c r="N38">
        <v>60</v>
      </c>
      <c r="O38">
        <v>0.89999999999999991</v>
      </c>
    </row>
    <row r="39" spans="1:15">
      <c r="A39">
        <v>12</v>
      </c>
      <c r="B39">
        <v>30</v>
      </c>
      <c r="C39" t="s">
        <v>30</v>
      </c>
      <c r="D39">
        <v>10</v>
      </c>
      <c r="E39">
        <v>2023</v>
      </c>
      <c r="F39" s="17">
        <v>45229</v>
      </c>
      <c r="G39" t="s">
        <v>64</v>
      </c>
      <c r="H39" t="s">
        <v>18</v>
      </c>
      <c r="I39">
        <v>35</v>
      </c>
      <c r="K39" t="s">
        <v>19</v>
      </c>
      <c r="L39">
        <v>3</v>
      </c>
      <c r="M39">
        <v>25</v>
      </c>
      <c r="N39">
        <v>75</v>
      </c>
      <c r="O39">
        <v>1.125</v>
      </c>
    </row>
    <row r="40" spans="1:15">
      <c r="A40">
        <v>767</v>
      </c>
      <c r="B40">
        <v>24</v>
      </c>
      <c r="C40" t="s">
        <v>30</v>
      </c>
      <c r="D40">
        <v>10</v>
      </c>
      <c r="E40">
        <v>2023</v>
      </c>
      <c r="F40" s="17">
        <v>45223</v>
      </c>
      <c r="G40" t="s">
        <v>65</v>
      </c>
      <c r="H40" t="s">
        <v>18</v>
      </c>
      <c r="I40">
        <v>39</v>
      </c>
      <c r="K40" t="s">
        <v>19</v>
      </c>
      <c r="L40">
        <v>3</v>
      </c>
      <c r="M40">
        <v>25</v>
      </c>
      <c r="N40">
        <v>75</v>
      </c>
      <c r="O40">
        <v>1.125</v>
      </c>
    </row>
    <row r="41" spans="1:15">
      <c r="A41">
        <v>51</v>
      </c>
      <c r="B41">
        <v>2</v>
      </c>
      <c r="C41" t="s">
        <v>30</v>
      </c>
      <c r="D41">
        <v>10</v>
      </c>
      <c r="E41">
        <v>2023</v>
      </c>
      <c r="F41" s="17">
        <v>45201</v>
      </c>
      <c r="G41" t="s">
        <v>66</v>
      </c>
      <c r="H41" t="s">
        <v>18</v>
      </c>
      <c r="I41">
        <v>27</v>
      </c>
      <c r="K41" t="s">
        <v>19</v>
      </c>
      <c r="L41">
        <v>3</v>
      </c>
      <c r="M41">
        <v>25</v>
      </c>
      <c r="N41">
        <v>75</v>
      </c>
      <c r="O41">
        <v>1.125</v>
      </c>
    </row>
    <row r="42" spans="1:15">
      <c r="A42">
        <v>713</v>
      </c>
      <c r="B42">
        <v>14</v>
      </c>
      <c r="C42" t="s">
        <v>46</v>
      </c>
      <c r="D42">
        <v>1</v>
      </c>
      <c r="E42">
        <v>2023</v>
      </c>
      <c r="F42" s="17">
        <v>44940</v>
      </c>
      <c r="G42" t="s">
        <v>67</v>
      </c>
      <c r="H42" t="s">
        <v>18</v>
      </c>
      <c r="I42">
        <v>34</v>
      </c>
      <c r="K42" t="s">
        <v>19</v>
      </c>
      <c r="L42">
        <v>3</v>
      </c>
      <c r="M42">
        <v>25</v>
      </c>
      <c r="N42">
        <v>75</v>
      </c>
      <c r="O42">
        <v>1.125</v>
      </c>
    </row>
    <row r="43" spans="1:15">
      <c r="A43">
        <v>644</v>
      </c>
      <c r="B43">
        <v>6</v>
      </c>
      <c r="C43" t="s">
        <v>22</v>
      </c>
      <c r="D43">
        <v>9</v>
      </c>
      <c r="E43">
        <v>2023</v>
      </c>
      <c r="F43" s="17">
        <v>45175</v>
      </c>
      <c r="G43" t="s">
        <v>68</v>
      </c>
      <c r="H43" t="s">
        <v>18</v>
      </c>
      <c r="I43">
        <v>23</v>
      </c>
      <c r="K43" t="s">
        <v>19</v>
      </c>
      <c r="L43">
        <v>3</v>
      </c>
      <c r="M43">
        <v>25</v>
      </c>
      <c r="N43">
        <v>75</v>
      </c>
      <c r="O43">
        <v>1.125</v>
      </c>
    </row>
    <row r="44" spans="1:15">
      <c r="A44">
        <v>469</v>
      </c>
      <c r="B44">
        <v>8</v>
      </c>
      <c r="C44" t="s">
        <v>32</v>
      </c>
      <c r="D44">
        <v>5</v>
      </c>
      <c r="E44">
        <v>2023</v>
      </c>
      <c r="F44" s="17">
        <v>45054</v>
      </c>
      <c r="G44" t="s">
        <v>69</v>
      </c>
      <c r="H44" t="s">
        <v>18</v>
      </c>
      <c r="I44">
        <v>18</v>
      </c>
      <c r="K44" t="s">
        <v>19</v>
      </c>
      <c r="L44">
        <v>3</v>
      </c>
      <c r="M44">
        <v>25</v>
      </c>
      <c r="N44">
        <v>75</v>
      </c>
      <c r="O44">
        <v>1.125</v>
      </c>
    </row>
    <row r="45" spans="1:15">
      <c r="A45">
        <v>350</v>
      </c>
      <c r="B45">
        <v>17</v>
      </c>
      <c r="C45" t="s">
        <v>30</v>
      </c>
      <c r="D45">
        <v>10</v>
      </c>
      <c r="E45">
        <v>2023</v>
      </c>
      <c r="F45" s="17">
        <v>45216</v>
      </c>
      <c r="G45" t="s">
        <v>70</v>
      </c>
      <c r="H45" t="s">
        <v>18</v>
      </c>
      <c r="I45">
        <v>25</v>
      </c>
      <c r="K45" t="s">
        <v>19</v>
      </c>
      <c r="L45">
        <v>3</v>
      </c>
      <c r="M45">
        <v>25</v>
      </c>
      <c r="N45">
        <v>75</v>
      </c>
      <c r="O45">
        <v>1.125</v>
      </c>
    </row>
    <row r="46" spans="1:15">
      <c r="A46">
        <v>997</v>
      </c>
      <c r="B46">
        <v>17</v>
      </c>
      <c r="C46" t="s">
        <v>24</v>
      </c>
      <c r="D46">
        <v>11</v>
      </c>
      <c r="E46">
        <v>2023</v>
      </c>
      <c r="F46" s="17">
        <v>45247</v>
      </c>
      <c r="G46" t="s">
        <v>71</v>
      </c>
      <c r="H46" t="s">
        <v>18</v>
      </c>
      <c r="I46">
        <v>52</v>
      </c>
      <c r="K46" t="s">
        <v>19</v>
      </c>
      <c r="L46">
        <v>3</v>
      </c>
      <c r="M46">
        <v>30</v>
      </c>
      <c r="N46">
        <v>90</v>
      </c>
      <c r="O46">
        <v>1.3499999999999999</v>
      </c>
    </row>
    <row r="47" spans="1:15">
      <c r="A47">
        <v>953</v>
      </c>
      <c r="B47">
        <v>26</v>
      </c>
      <c r="C47" t="s">
        <v>16</v>
      </c>
      <c r="D47">
        <v>4</v>
      </c>
      <c r="E47">
        <v>2023</v>
      </c>
      <c r="F47" s="17">
        <v>45042</v>
      </c>
      <c r="G47" t="s">
        <v>72</v>
      </c>
      <c r="H47" t="s">
        <v>18</v>
      </c>
      <c r="I47">
        <v>45</v>
      </c>
      <c r="K47" t="s">
        <v>19</v>
      </c>
      <c r="L47">
        <v>3</v>
      </c>
      <c r="M47">
        <v>30</v>
      </c>
      <c r="N47">
        <v>90</v>
      </c>
      <c r="O47">
        <v>1.3499999999999999</v>
      </c>
    </row>
    <row r="48" spans="1:15">
      <c r="A48">
        <v>837</v>
      </c>
      <c r="B48">
        <v>1</v>
      </c>
      <c r="C48" t="s">
        <v>58</v>
      </c>
      <c r="D48">
        <v>7</v>
      </c>
      <c r="E48">
        <v>2023</v>
      </c>
      <c r="F48" s="17">
        <v>45108</v>
      </c>
      <c r="G48" t="s">
        <v>73</v>
      </c>
      <c r="H48" t="s">
        <v>18</v>
      </c>
      <c r="I48">
        <v>18</v>
      </c>
      <c r="K48" t="s">
        <v>19</v>
      </c>
      <c r="L48">
        <v>3</v>
      </c>
      <c r="M48">
        <v>30</v>
      </c>
      <c r="N48">
        <v>90</v>
      </c>
      <c r="O48">
        <v>1.3499999999999999</v>
      </c>
    </row>
    <row r="49" spans="1:15">
      <c r="A49">
        <v>32</v>
      </c>
      <c r="B49">
        <v>4</v>
      </c>
      <c r="C49" t="s">
        <v>46</v>
      </c>
      <c r="D49">
        <v>1</v>
      </c>
      <c r="E49">
        <v>2023</v>
      </c>
      <c r="F49" s="17">
        <v>44930</v>
      </c>
      <c r="G49" t="s">
        <v>74</v>
      </c>
      <c r="H49" t="s">
        <v>18</v>
      </c>
      <c r="I49">
        <v>30</v>
      </c>
      <c r="K49" t="s">
        <v>19</v>
      </c>
      <c r="L49">
        <v>3</v>
      </c>
      <c r="M49">
        <v>30</v>
      </c>
      <c r="N49">
        <v>90</v>
      </c>
      <c r="O49">
        <v>1.3499999999999999</v>
      </c>
    </row>
    <row r="50" spans="1:15">
      <c r="A50">
        <v>829</v>
      </c>
      <c r="B50">
        <v>14</v>
      </c>
      <c r="C50" t="s">
        <v>58</v>
      </c>
      <c r="D50">
        <v>7</v>
      </c>
      <c r="E50">
        <v>2023</v>
      </c>
      <c r="F50" s="17">
        <v>45121</v>
      </c>
      <c r="G50" t="s">
        <v>75</v>
      </c>
      <c r="H50" t="s">
        <v>18</v>
      </c>
      <c r="I50">
        <v>61</v>
      </c>
      <c r="K50" t="s">
        <v>19</v>
      </c>
      <c r="L50">
        <v>3</v>
      </c>
      <c r="M50">
        <v>30</v>
      </c>
      <c r="N50">
        <v>90</v>
      </c>
      <c r="O50">
        <v>1.3499999999999999</v>
      </c>
    </row>
    <row r="51" spans="1:15">
      <c r="A51">
        <v>656</v>
      </c>
      <c r="B51">
        <v>4</v>
      </c>
      <c r="C51" t="s">
        <v>30</v>
      </c>
      <c r="D51">
        <v>10</v>
      </c>
      <c r="E51">
        <v>2023</v>
      </c>
      <c r="F51" s="17">
        <v>45203</v>
      </c>
      <c r="G51" t="s">
        <v>76</v>
      </c>
      <c r="H51" t="s">
        <v>18</v>
      </c>
      <c r="I51">
        <v>29</v>
      </c>
      <c r="K51" t="s">
        <v>19</v>
      </c>
      <c r="L51">
        <v>3</v>
      </c>
      <c r="M51">
        <v>30</v>
      </c>
      <c r="N51">
        <v>90</v>
      </c>
      <c r="O51">
        <v>1.3499999999999999</v>
      </c>
    </row>
    <row r="52" spans="1:15">
      <c r="A52">
        <v>535</v>
      </c>
      <c r="B52">
        <v>6</v>
      </c>
      <c r="C52" t="s">
        <v>62</v>
      </c>
      <c r="D52">
        <v>12</v>
      </c>
      <c r="E52">
        <v>2023</v>
      </c>
      <c r="F52" s="17">
        <v>45266</v>
      </c>
      <c r="G52" t="s">
        <v>77</v>
      </c>
      <c r="H52" t="s">
        <v>18</v>
      </c>
      <c r="I52">
        <v>47</v>
      </c>
      <c r="K52" t="s">
        <v>19</v>
      </c>
      <c r="L52">
        <v>3</v>
      </c>
      <c r="M52">
        <v>30</v>
      </c>
      <c r="N52">
        <v>90</v>
      </c>
      <c r="O52">
        <v>1.3499999999999999</v>
      </c>
    </row>
    <row r="53" spans="1:15">
      <c r="A53">
        <v>86</v>
      </c>
      <c r="B53">
        <v>8</v>
      </c>
      <c r="C53" t="s">
        <v>24</v>
      </c>
      <c r="D53">
        <v>11</v>
      </c>
      <c r="E53">
        <v>2023</v>
      </c>
      <c r="F53" s="17">
        <v>45238</v>
      </c>
      <c r="G53" t="s">
        <v>78</v>
      </c>
      <c r="H53" t="s">
        <v>18</v>
      </c>
      <c r="I53">
        <v>19</v>
      </c>
      <c r="K53" t="s">
        <v>19</v>
      </c>
      <c r="L53">
        <v>3</v>
      </c>
      <c r="M53">
        <v>30</v>
      </c>
      <c r="N53">
        <v>90</v>
      </c>
      <c r="O53">
        <v>1.3499999999999999</v>
      </c>
    </row>
    <row r="54" spans="1:15">
      <c r="A54">
        <v>229</v>
      </c>
      <c r="B54">
        <v>29</v>
      </c>
      <c r="C54" t="s">
        <v>30</v>
      </c>
      <c r="D54">
        <v>10</v>
      </c>
      <c r="E54">
        <v>2023</v>
      </c>
      <c r="F54" s="17">
        <v>45228</v>
      </c>
      <c r="G54" t="s">
        <v>79</v>
      </c>
      <c r="H54" t="s">
        <v>18</v>
      </c>
      <c r="I54">
        <v>58</v>
      </c>
      <c r="K54" t="s">
        <v>19</v>
      </c>
      <c r="L54">
        <v>3</v>
      </c>
      <c r="M54">
        <v>30</v>
      </c>
      <c r="N54">
        <v>90</v>
      </c>
      <c r="O54">
        <v>1.3499999999999999</v>
      </c>
    </row>
    <row r="55" spans="1:15">
      <c r="A55">
        <v>218</v>
      </c>
      <c r="B55">
        <v>22</v>
      </c>
      <c r="C55" t="s">
        <v>22</v>
      </c>
      <c r="D55">
        <v>9</v>
      </c>
      <c r="E55">
        <v>2023</v>
      </c>
      <c r="F55" s="17">
        <v>45191</v>
      </c>
      <c r="G55" t="s">
        <v>80</v>
      </c>
      <c r="H55" t="s">
        <v>18</v>
      </c>
      <c r="I55">
        <v>64</v>
      </c>
      <c r="K55" t="s">
        <v>19</v>
      </c>
      <c r="L55">
        <v>3</v>
      </c>
      <c r="M55">
        <v>30</v>
      </c>
      <c r="N55">
        <v>90</v>
      </c>
      <c r="O55">
        <v>1.3499999999999999</v>
      </c>
    </row>
    <row r="56" spans="1:15">
      <c r="A56">
        <v>972</v>
      </c>
      <c r="B56">
        <v>11</v>
      </c>
      <c r="C56" t="s">
        <v>20</v>
      </c>
      <c r="D56">
        <v>2</v>
      </c>
      <c r="E56">
        <v>2023</v>
      </c>
      <c r="F56" s="17">
        <v>44968</v>
      </c>
      <c r="G56" t="s">
        <v>81</v>
      </c>
      <c r="H56" t="s">
        <v>18</v>
      </c>
      <c r="I56">
        <v>49</v>
      </c>
      <c r="K56" t="s">
        <v>19</v>
      </c>
      <c r="L56">
        <v>4</v>
      </c>
      <c r="M56">
        <v>25</v>
      </c>
      <c r="N56">
        <v>100</v>
      </c>
      <c r="O56">
        <v>1.5</v>
      </c>
    </row>
    <row r="57" spans="1:15">
      <c r="A57">
        <v>5</v>
      </c>
      <c r="B57">
        <v>6</v>
      </c>
      <c r="C57" t="s">
        <v>32</v>
      </c>
      <c r="D57">
        <v>5</v>
      </c>
      <c r="E57">
        <v>2023</v>
      </c>
      <c r="F57" s="17">
        <v>45052</v>
      </c>
      <c r="G57" t="s">
        <v>82</v>
      </c>
      <c r="H57" t="s">
        <v>18</v>
      </c>
      <c r="I57">
        <v>30</v>
      </c>
      <c r="K57" t="s">
        <v>19</v>
      </c>
      <c r="L57">
        <v>2</v>
      </c>
      <c r="M57">
        <v>50</v>
      </c>
      <c r="N57">
        <v>100</v>
      </c>
      <c r="O57">
        <v>1.5</v>
      </c>
    </row>
    <row r="58" spans="1:15">
      <c r="A58">
        <v>951</v>
      </c>
      <c r="B58">
        <v>2</v>
      </c>
      <c r="C58" t="s">
        <v>24</v>
      </c>
      <c r="D58">
        <v>11</v>
      </c>
      <c r="E58">
        <v>2023</v>
      </c>
      <c r="F58" s="17">
        <v>45232</v>
      </c>
      <c r="G58" t="s">
        <v>83</v>
      </c>
      <c r="H58" t="s">
        <v>18</v>
      </c>
      <c r="I58">
        <v>33</v>
      </c>
      <c r="K58" t="s">
        <v>19</v>
      </c>
      <c r="L58">
        <v>2</v>
      </c>
      <c r="M58">
        <v>50</v>
      </c>
      <c r="N58">
        <v>100</v>
      </c>
      <c r="O58">
        <v>1.5</v>
      </c>
    </row>
    <row r="59" spans="1:15">
      <c r="A59">
        <v>924</v>
      </c>
      <c r="B59">
        <v>29</v>
      </c>
      <c r="C59" t="s">
        <v>39</v>
      </c>
      <c r="D59">
        <v>8</v>
      </c>
      <c r="E59">
        <v>2023</v>
      </c>
      <c r="F59" s="17">
        <v>45167</v>
      </c>
      <c r="G59" t="s">
        <v>84</v>
      </c>
      <c r="H59" t="s">
        <v>18</v>
      </c>
      <c r="I59">
        <v>55</v>
      </c>
      <c r="K59" t="s">
        <v>19</v>
      </c>
      <c r="L59">
        <v>2</v>
      </c>
      <c r="M59">
        <v>50</v>
      </c>
      <c r="N59">
        <v>100</v>
      </c>
      <c r="O59">
        <v>1.5</v>
      </c>
    </row>
    <row r="60" spans="1:15">
      <c r="A60">
        <v>745</v>
      </c>
      <c r="B60">
        <v>13</v>
      </c>
      <c r="C60" t="s">
        <v>16</v>
      </c>
      <c r="D60">
        <v>4</v>
      </c>
      <c r="E60">
        <v>2023</v>
      </c>
      <c r="F60" s="17">
        <v>45029</v>
      </c>
      <c r="G60" t="s">
        <v>85</v>
      </c>
      <c r="H60" t="s">
        <v>18</v>
      </c>
      <c r="I60">
        <v>54</v>
      </c>
      <c r="K60" t="s">
        <v>19</v>
      </c>
      <c r="L60">
        <v>2</v>
      </c>
      <c r="M60">
        <v>50</v>
      </c>
      <c r="N60">
        <v>100</v>
      </c>
      <c r="O60">
        <v>1.5</v>
      </c>
    </row>
    <row r="61" spans="1:15">
      <c r="A61">
        <v>62</v>
      </c>
      <c r="B61">
        <v>27</v>
      </c>
      <c r="C61" t="s">
        <v>62</v>
      </c>
      <c r="D61">
        <v>12</v>
      </c>
      <c r="E61">
        <v>2023</v>
      </c>
      <c r="F61" s="17">
        <v>45287</v>
      </c>
      <c r="G61" t="s">
        <v>86</v>
      </c>
      <c r="H61" t="s">
        <v>18</v>
      </c>
      <c r="I61">
        <v>18</v>
      </c>
      <c r="K61" t="s">
        <v>19</v>
      </c>
      <c r="L61">
        <v>2</v>
      </c>
      <c r="M61">
        <v>50</v>
      </c>
      <c r="N61">
        <v>100</v>
      </c>
      <c r="O61">
        <v>1.5</v>
      </c>
    </row>
    <row r="62" spans="1:15">
      <c r="A62">
        <v>516</v>
      </c>
      <c r="B62">
        <v>23</v>
      </c>
      <c r="C62" t="s">
        <v>30</v>
      </c>
      <c r="D62">
        <v>10</v>
      </c>
      <c r="E62">
        <v>2023</v>
      </c>
      <c r="F62" s="17">
        <v>45222</v>
      </c>
      <c r="G62" t="s">
        <v>87</v>
      </c>
      <c r="H62" t="s">
        <v>18</v>
      </c>
      <c r="I62">
        <v>30</v>
      </c>
      <c r="K62" t="s">
        <v>19</v>
      </c>
      <c r="L62">
        <v>4</v>
      </c>
      <c r="M62">
        <v>25</v>
      </c>
      <c r="N62">
        <v>100</v>
      </c>
      <c r="O62">
        <v>1.5</v>
      </c>
    </row>
    <row r="63" spans="1:15">
      <c r="A63">
        <v>511</v>
      </c>
      <c r="B63">
        <v>12</v>
      </c>
      <c r="C63" t="s">
        <v>39</v>
      </c>
      <c r="D63">
        <v>8</v>
      </c>
      <c r="E63">
        <v>2023</v>
      </c>
      <c r="F63" s="17">
        <v>45150</v>
      </c>
      <c r="G63" t="s">
        <v>88</v>
      </c>
      <c r="H63" t="s">
        <v>18</v>
      </c>
      <c r="I63">
        <v>45</v>
      </c>
      <c r="K63" t="s">
        <v>19</v>
      </c>
      <c r="L63">
        <v>2</v>
      </c>
      <c r="M63">
        <v>50</v>
      </c>
      <c r="N63">
        <v>100</v>
      </c>
      <c r="O63">
        <v>1.5</v>
      </c>
    </row>
    <row r="64" spans="1:15">
      <c r="A64">
        <v>492</v>
      </c>
      <c r="B64">
        <v>29</v>
      </c>
      <c r="C64" t="s">
        <v>26</v>
      </c>
      <c r="D64">
        <v>6</v>
      </c>
      <c r="E64">
        <v>2023</v>
      </c>
      <c r="F64" s="17">
        <v>45106</v>
      </c>
      <c r="G64" t="s">
        <v>89</v>
      </c>
      <c r="H64" t="s">
        <v>18</v>
      </c>
      <c r="I64">
        <v>61</v>
      </c>
      <c r="K64" t="s">
        <v>19</v>
      </c>
      <c r="L64">
        <v>4</v>
      </c>
      <c r="M64">
        <v>25</v>
      </c>
      <c r="N64">
        <v>100</v>
      </c>
      <c r="O64">
        <v>1.5</v>
      </c>
    </row>
    <row r="65" spans="1:15">
      <c r="A65">
        <v>414</v>
      </c>
      <c r="B65">
        <v>9</v>
      </c>
      <c r="C65" t="s">
        <v>32</v>
      </c>
      <c r="D65">
        <v>5</v>
      </c>
      <c r="E65">
        <v>2023</v>
      </c>
      <c r="F65" s="17">
        <v>45055</v>
      </c>
      <c r="G65" t="s">
        <v>90</v>
      </c>
      <c r="H65" t="s">
        <v>18</v>
      </c>
      <c r="I65">
        <v>48</v>
      </c>
      <c r="K65" t="s">
        <v>19</v>
      </c>
      <c r="L65">
        <v>4</v>
      </c>
      <c r="M65">
        <v>25</v>
      </c>
      <c r="N65">
        <v>100</v>
      </c>
      <c r="O65">
        <v>1.5</v>
      </c>
    </row>
    <row r="66" spans="1:15">
      <c r="A66">
        <v>338</v>
      </c>
      <c r="B66">
        <v>26</v>
      </c>
      <c r="C66" t="s">
        <v>58</v>
      </c>
      <c r="D66">
        <v>7</v>
      </c>
      <c r="E66">
        <v>2023</v>
      </c>
      <c r="F66" s="17">
        <v>45133</v>
      </c>
      <c r="G66" t="s">
        <v>91</v>
      </c>
      <c r="H66" t="s">
        <v>18</v>
      </c>
      <c r="I66">
        <v>54</v>
      </c>
      <c r="K66" t="s">
        <v>19</v>
      </c>
      <c r="L66">
        <v>2</v>
      </c>
      <c r="M66">
        <v>50</v>
      </c>
      <c r="N66">
        <v>100</v>
      </c>
      <c r="O66">
        <v>1.5</v>
      </c>
    </row>
    <row r="67" spans="1:15">
      <c r="A67">
        <v>328</v>
      </c>
      <c r="B67">
        <v>22</v>
      </c>
      <c r="C67" t="s">
        <v>92</v>
      </c>
      <c r="D67">
        <v>3</v>
      </c>
      <c r="E67">
        <v>2023</v>
      </c>
      <c r="F67" s="17">
        <v>45007</v>
      </c>
      <c r="G67" t="s">
        <v>93</v>
      </c>
      <c r="H67" t="s">
        <v>18</v>
      </c>
      <c r="I67">
        <v>39</v>
      </c>
      <c r="K67" t="s">
        <v>19</v>
      </c>
      <c r="L67">
        <v>2</v>
      </c>
      <c r="M67">
        <v>50</v>
      </c>
      <c r="N67">
        <v>100</v>
      </c>
      <c r="O67">
        <v>1.5</v>
      </c>
    </row>
    <row r="68" spans="1:15">
      <c r="A68">
        <v>244</v>
      </c>
      <c r="B68">
        <v>9</v>
      </c>
      <c r="C68" t="s">
        <v>62</v>
      </c>
      <c r="D68">
        <v>12</v>
      </c>
      <c r="E68">
        <v>2023</v>
      </c>
      <c r="F68" s="17">
        <v>45269</v>
      </c>
      <c r="G68" t="s">
        <v>94</v>
      </c>
      <c r="H68" t="s">
        <v>18</v>
      </c>
      <c r="I68">
        <v>28</v>
      </c>
      <c r="K68" t="s">
        <v>19</v>
      </c>
      <c r="L68">
        <v>2</v>
      </c>
      <c r="M68">
        <v>50</v>
      </c>
      <c r="N68">
        <v>100</v>
      </c>
      <c r="O68">
        <v>1.5</v>
      </c>
    </row>
    <row r="69" spans="1:15">
      <c r="A69">
        <v>192</v>
      </c>
      <c r="B69">
        <v>10</v>
      </c>
      <c r="C69" t="s">
        <v>20</v>
      </c>
      <c r="D69">
        <v>2</v>
      </c>
      <c r="E69">
        <v>2023</v>
      </c>
      <c r="F69" s="17">
        <v>44967</v>
      </c>
      <c r="G69" t="s">
        <v>95</v>
      </c>
      <c r="H69" t="s">
        <v>18</v>
      </c>
      <c r="I69">
        <v>62</v>
      </c>
      <c r="K69" t="s">
        <v>19</v>
      </c>
      <c r="L69">
        <v>2</v>
      </c>
      <c r="M69">
        <v>50</v>
      </c>
      <c r="N69">
        <v>100</v>
      </c>
      <c r="O69">
        <v>1.5</v>
      </c>
    </row>
    <row r="70" spans="1:15">
      <c r="A70">
        <v>177</v>
      </c>
      <c r="B70">
        <v>24</v>
      </c>
      <c r="C70" t="s">
        <v>92</v>
      </c>
      <c r="D70">
        <v>3</v>
      </c>
      <c r="E70">
        <v>2023</v>
      </c>
      <c r="F70" s="17">
        <v>45009</v>
      </c>
      <c r="G70" t="s">
        <v>96</v>
      </c>
      <c r="H70" t="s">
        <v>18</v>
      </c>
      <c r="I70">
        <v>45</v>
      </c>
      <c r="K70" t="s">
        <v>19</v>
      </c>
      <c r="L70">
        <v>2</v>
      </c>
      <c r="M70">
        <v>50</v>
      </c>
      <c r="N70">
        <v>100</v>
      </c>
      <c r="O70">
        <v>1.5</v>
      </c>
    </row>
    <row r="71" spans="1:15">
      <c r="A71">
        <v>931</v>
      </c>
      <c r="B71">
        <v>2</v>
      </c>
      <c r="C71" t="s">
        <v>22</v>
      </c>
      <c r="D71">
        <v>9</v>
      </c>
      <c r="E71">
        <v>2023</v>
      </c>
      <c r="F71" s="17">
        <v>45171</v>
      </c>
      <c r="G71" t="s">
        <v>97</v>
      </c>
      <c r="H71" t="s">
        <v>18</v>
      </c>
      <c r="I71">
        <v>30</v>
      </c>
      <c r="K71" t="s">
        <v>19</v>
      </c>
      <c r="L71">
        <v>4</v>
      </c>
      <c r="M71">
        <v>30</v>
      </c>
      <c r="N71">
        <v>120</v>
      </c>
      <c r="O71">
        <v>1.7999999999999998</v>
      </c>
    </row>
    <row r="72" spans="1:15">
      <c r="A72">
        <v>796</v>
      </c>
      <c r="B72">
        <v>24</v>
      </c>
      <c r="C72" t="s">
        <v>26</v>
      </c>
      <c r="D72">
        <v>6</v>
      </c>
      <c r="E72">
        <v>2023</v>
      </c>
      <c r="F72" s="17">
        <v>45101</v>
      </c>
      <c r="G72" t="s">
        <v>98</v>
      </c>
      <c r="H72" t="s">
        <v>18</v>
      </c>
      <c r="I72">
        <v>43</v>
      </c>
      <c r="K72" t="s">
        <v>19</v>
      </c>
      <c r="L72">
        <v>4</v>
      </c>
      <c r="M72">
        <v>30</v>
      </c>
      <c r="N72">
        <v>120</v>
      </c>
      <c r="O72">
        <v>1.7999999999999998</v>
      </c>
    </row>
    <row r="73" spans="1:15">
      <c r="A73">
        <v>55</v>
      </c>
      <c r="B73">
        <v>10</v>
      </c>
      <c r="C73" t="s">
        <v>30</v>
      </c>
      <c r="D73">
        <v>10</v>
      </c>
      <c r="E73">
        <v>2023</v>
      </c>
      <c r="F73" s="17">
        <v>45209</v>
      </c>
      <c r="G73" t="s">
        <v>99</v>
      </c>
      <c r="H73" t="s">
        <v>18</v>
      </c>
      <c r="I73">
        <v>31</v>
      </c>
      <c r="K73" t="s">
        <v>19</v>
      </c>
      <c r="L73">
        <v>4</v>
      </c>
      <c r="M73">
        <v>30</v>
      </c>
      <c r="N73">
        <v>120</v>
      </c>
      <c r="O73">
        <v>1.7999999999999998</v>
      </c>
    </row>
    <row r="74" spans="1:15">
      <c r="A74">
        <v>633</v>
      </c>
      <c r="B74">
        <v>7</v>
      </c>
      <c r="C74" t="s">
        <v>39</v>
      </c>
      <c r="D74">
        <v>8</v>
      </c>
      <c r="E74">
        <v>2023</v>
      </c>
      <c r="F74" s="17">
        <v>45145</v>
      </c>
      <c r="G74" t="s">
        <v>100</v>
      </c>
      <c r="H74" t="s">
        <v>18</v>
      </c>
      <c r="I74">
        <v>39</v>
      </c>
      <c r="K74" t="s">
        <v>19</v>
      </c>
      <c r="L74">
        <v>4</v>
      </c>
      <c r="M74">
        <v>30</v>
      </c>
      <c r="N74">
        <v>120</v>
      </c>
      <c r="O74">
        <v>1.7999999999999998</v>
      </c>
    </row>
    <row r="75" spans="1:15">
      <c r="A75">
        <v>598</v>
      </c>
      <c r="B75">
        <v>1</v>
      </c>
      <c r="C75" t="s">
        <v>39</v>
      </c>
      <c r="D75">
        <v>8</v>
      </c>
      <c r="E75">
        <v>2023</v>
      </c>
      <c r="F75" s="17">
        <v>45139</v>
      </c>
      <c r="G75" t="s">
        <v>101</v>
      </c>
      <c r="H75" t="s">
        <v>18</v>
      </c>
      <c r="I75">
        <v>37</v>
      </c>
      <c r="K75" t="s">
        <v>19</v>
      </c>
      <c r="L75">
        <v>4</v>
      </c>
      <c r="M75">
        <v>30</v>
      </c>
      <c r="N75">
        <v>120</v>
      </c>
      <c r="O75">
        <v>1.7999999999999998</v>
      </c>
    </row>
    <row r="76" spans="1:15">
      <c r="A76">
        <v>182</v>
      </c>
      <c r="B76">
        <v>15</v>
      </c>
      <c r="C76" t="s">
        <v>26</v>
      </c>
      <c r="D76">
        <v>6</v>
      </c>
      <c r="E76">
        <v>2023</v>
      </c>
      <c r="F76" s="17">
        <v>45092</v>
      </c>
      <c r="G76" t="s">
        <v>102</v>
      </c>
      <c r="H76" t="s">
        <v>18</v>
      </c>
      <c r="I76">
        <v>62</v>
      </c>
      <c r="K76" t="s">
        <v>19</v>
      </c>
      <c r="L76">
        <v>4</v>
      </c>
      <c r="M76">
        <v>30</v>
      </c>
      <c r="N76">
        <v>120</v>
      </c>
      <c r="O76">
        <v>1.7999999999999998</v>
      </c>
    </row>
    <row r="77" spans="1:15">
      <c r="A77">
        <v>1</v>
      </c>
      <c r="B77">
        <v>24</v>
      </c>
      <c r="C77" t="s">
        <v>24</v>
      </c>
      <c r="D77">
        <v>11</v>
      </c>
      <c r="E77">
        <v>2023</v>
      </c>
      <c r="F77" s="17">
        <v>45254</v>
      </c>
      <c r="G77" t="s">
        <v>103</v>
      </c>
      <c r="H77" t="s">
        <v>18</v>
      </c>
      <c r="K77" t="s">
        <v>19</v>
      </c>
      <c r="L77">
        <v>3</v>
      </c>
      <c r="M77">
        <v>50</v>
      </c>
      <c r="N77">
        <v>150</v>
      </c>
      <c r="O77">
        <v>2.25</v>
      </c>
    </row>
    <row r="78" spans="1:15">
      <c r="A78">
        <v>912</v>
      </c>
      <c r="B78">
        <v>24</v>
      </c>
      <c r="C78" t="s">
        <v>46</v>
      </c>
      <c r="D78">
        <v>1</v>
      </c>
      <c r="E78">
        <v>2023</v>
      </c>
      <c r="F78" s="17">
        <v>44950</v>
      </c>
      <c r="G78" t="s">
        <v>104</v>
      </c>
      <c r="H78" t="s">
        <v>18</v>
      </c>
      <c r="I78">
        <v>51</v>
      </c>
      <c r="K78" t="s">
        <v>19</v>
      </c>
      <c r="L78">
        <v>3</v>
      </c>
      <c r="M78">
        <v>50</v>
      </c>
      <c r="N78">
        <v>150</v>
      </c>
      <c r="O78">
        <v>2.25</v>
      </c>
    </row>
    <row r="79" spans="1:15">
      <c r="A79">
        <v>60</v>
      </c>
      <c r="B79">
        <v>23</v>
      </c>
      <c r="C79" t="s">
        <v>30</v>
      </c>
      <c r="D79">
        <v>10</v>
      </c>
      <c r="E79">
        <v>2023</v>
      </c>
      <c r="F79" s="17">
        <v>45222</v>
      </c>
      <c r="G79" t="s">
        <v>105</v>
      </c>
      <c r="H79" t="s">
        <v>18</v>
      </c>
      <c r="I79">
        <v>30</v>
      </c>
      <c r="K79" t="s">
        <v>19</v>
      </c>
      <c r="L79">
        <v>3</v>
      </c>
      <c r="M79">
        <v>50</v>
      </c>
      <c r="N79">
        <v>150</v>
      </c>
      <c r="O79">
        <v>2.25</v>
      </c>
    </row>
    <row r="80" spans="1:15">
      <c r="A80">
        <v>200</v>
      </c>
      <c r="B80">
        <v>1</v>
      </c>
      <c r="C80" t="s">
        <v>22</v>
      </c>
      <c r="D80">
        <v>9</v>
      </c>
      <c r="E80">
        <v>2023</v>
      </c>
      <c r="F80" s="17">
        <v>45170</v>
      </c>
      <c r="G80" t="s">
        <v>106</v>
      </c>
      <c r="H80" t="s">
        <v>18</v>
      </c>
      <c r="I80">
        <v>27</v>
      </c>
      <c r="K80" t="s">
        <v>19</v>
      </c>
      <c r="L80">
        <v>3</v>
      </c>
      <c r="M80">
        <v>50</v>
      </c>
      <c r="N80">
        <v>150</v>
      </c>
      <c r="O80">
        <v>2.25</v>
      </c>
    </row>
    <row r="81" spans="1:15">
      <c r="A81">
        <v>961</v>
      </c>
      <c r="B81">
        <v>6</v>
      </c>
      <c r="C81" t="s">
        <v>26</v>
      </c>
      <c r="D81">
        <v>6</v>
      </c>
      <c r="E81">
        <v>2023</v>
      </c>
      <c r="F81" s="17">
        <v>45083</v>
      </c>
      <c r="G81" t="s">
        <v>107</v>
      </c>
      <c r="H81" t="s">
        <v>18</v>
      </c>
      <c r="I81">
        <v>53</v>
      </c>
      <c r="K81" t="s">
        <v>19</v>
      </c>
      <c r="L81">
        <v>4</v>
      </c>
      <c r="M81">
        <v>50</v>
      </c>
      <c r="N81">
        <v>200</v>
      </c>
      <c r="O81">
        <v>3</v>
      </c>
    </row>
    <row r="82" spans="1:15">
      <c r="A82">
        <v>936</v>
      </c>
      <c r="B82">
        <v>7</v>
      </c>
      <c r="C82" t="s">
        <v>20</v>
      </c>
      <c r="D82">
        <v>2</v>
      </c>
      <c r="E82">
        <v>2023</v>
      </c>
      <c r="F82" s="17">
        <v>44964</v>
      </c>
      <c r="G82" t="s">
        <v>108</v>
      </c>
      <c r="H82" t="s">
        <v>18</v>
      </c>
      <c r="I82">
        <v>57</v>
      </c>
      <c r="K82" t="s">
        <v>19</v>
      </c>
      <c r="L82">
        <v>4</v>
      </c>
      <c r="M82">
        <v>50</v>
      </c>
      <c r="N82">
        <v>200</v>
      </c>
      <c r="O82">
        <v>3</v>
      </c>
    </row>
    <row r="83" spans="1:15">
      <c r="A83">
        <v>833</v>
      </c>
      <c r="B83">
        <v>16</v>
      </c>
      <c r="C83" t="s">
        <v>26</v>
      </c>
      <c r="D83">
        <v>6</v>
      </c>
      <c r="E83">
        <v>2023</v>
      </c>
      <c r="F83" s="17">
        <v>45093</v>
      </c>
      <c r="G83" t="s">
        <v>109</v>
      </c>
      <c r="H83" t="s">
        <v>18</v>
      </c>
      <c r="I83">
        <v>42</v>
      </c>
      <c r="K83" t="s">
        <v>19</v>
      </c>
      <c r="L83">
        <v>4</v>
      </c>
      <c r="M83">
        <v>50</v>
      </c>
      <c r="N83">
        <v>200</v>
      </c>
      <c r="O83">
        <v>3</v>
      </c>
    </row>
    <row r="84" spans="1:15">
      <c r="A84">
        <v>817</v>
      </c>
      <c r="B84">
        <v>31</v>
      </c>
      <c r="C84" t="s">
        <v>30</v>
      </c>
      <c r="D84">
        <v>10</v>
      </c>
      <c r="E84">
        <v>2023</v>
      </c>
      <c r="F84" s="17">
        <v>45230</v>
      </c>
      <c r="G84" t="s">
        <v>110</v>
      </c>
      <c r="H84" t="s">
        <v>18</v>
      </c>
      <c r="I84">
        <v>30</v>
      </c>
      <c r="K84" t="s">
        <v>19</v>
      </c>
      <c r="L84">
        <v>4</v>
      </c>
      <c r="M84">
        <v>50</v>
      </c>
      <c r="N84">
        <v>200</v>
      </c>
      <c r="O84">
        <v>3</v>
      </c>
    </row>
    <row r="85" spans="1:15">
      <c r="A85">
        <v>38</v>
      </c>
      <c r="B85">
        <v>21</v>
      </c>
      <c r="C85" t="s">
        <v>92</v>
      </c>
      <c r="D85">
        <v>3</v>
      </c>
      <c r="E85">
        <v>2023</v>
      </c>
      <c r="F85" s="17">
        <v>45006</v>
      </c>
      <c r="G85" t="s">
        <v>111</v>
      </c>
      <c r="H85" t="s">
        <v>18</v>
      </c>
      <c r="I85">
        <v>38</v>
      </c>
      <c r="K85" t="s">
        <v>19</v>
      </c>
      <c r="L85">
        <v>4</v>
      </c>
      <c r="M85">
        <v>50</v>
      </c>
      <c r="N85">
        <v>200</v>
      </c>
      <c r="O85">
        <v>3</v>
      </c>
    </row>
    <row r="86" spans="1:15">
      <c r="A86">
        <v>61</v>
      </c>
      <c r="B86">
        <v>9</v>
      </c>
      <c r="C86" t="s">
        <v>16</v>
      </c>
      <c r="D86">
        <v>4</v>
      </c>
      <c r="E86">
        <v>2023</v>
      </c>
      <c r="F86" s="17">
        <v>45025</v>
      </c>
      <c r="G86" t="s">
        <v>112</v>
      </c>
      <c r="H86" t="s">
        <v>18</v>
      </c>
      <c r="I86">
        <v>21</v>
      </c>
      <c r="K86" t="s">
        <v>19</v>
      </c>
      <c r="L86">
        <v>4</v>
      </c>
      <c r="M86">
        <v>50</v>
      </c>
      <c r="N86">
        <v>200</v>
      </c>
      <c r="O86">
        <v>3</v>
      </c>
    </row>
    <row r="87" spans="1:15">
      <c r="A87">
        <v>75</v>
      </c>
      <c r="B87">
        <v>6</v>
      </c>
      <c r="C87" t="s">
        <v>58</v>
      </c>
      <c r="D87">
        <v>7</v>
      </c>
      <c r="E87">
        <v>2023</v>
      </c>
      <c r="F87" s="17">
        <v>45113</v>
      </c>
      <c r="G87" t="s">
        <v>113</v>
      </c>
      <c r="H87" t="s">
        <v>18</v>
      </c>
      <c r="I87">
        <v>61</v>
      </c>
      <c r="K87" t="s">
        <v>19</v>
      </c>
      <c r="L87">
        <v>4</v>
      </c>
      <c r="M87">
        <v>50</v>
      </c>
      <c r="N87">
        <v>200</v>
      </c>
      <c r="O87">
        <v>3</v>
      </c>
    </row>
    <row r="88" spans="1:15">
      <c r="A88">
        <v>433</v>
      </c>
      <c r="B88">
        <v>27</v>
      </c>
      <c r="C88" t="s">
        <v>20</v>
      </c>
      <c r="D88">
        <v>2</v>
      </c>
      <c r="E88">
        <v>2023</v>
      </c>
      <c r="F88" s="17">
        <v>44984</v>
      </c>
      <c r="G88" t="s">
        <v>114</v>
      </c>
      <c r="H88" t="s">
        <v>18</v>
      </c>
      <c r="I88">
        <v>29</v>
      </c>
      <c r="K88" t="s">
        <v>19</v>
      </c>
      <c r="L88">
        <v>4</v>
      </c>
      <c r="M88">
        <v>50</v>
      </c>
      <c r="N88">
        <v>200</v>
      </c>
      <c r="O88">
        <v>3</v>
      </c>
    </row>
    <row r="89" spans="1:15">
      <c r="A89">
        <v>947</v>
      </c>
      <c r="B89">
        <v>2</v>
      </c>
      <c r="C89" t="s">
        <v>92</v>
      </c>
      <c r="D89">
        <v>3</v>
      </c>
      <c r="E89">
        <v>2023</v>
      </c>
      <c r="F89" s="17">
        <v>44987</v>
      </c>
      <c r="G89" t="s">
        <v>115</v>
      </c>
      <c r="H89" t="s">
        <v>18</v>
      </c>
      <c r="I89">
        <v>50</v>
      </c>
      <c r="K89" t="s">
        <v>19</v>
      </c>
      <c r="L89">
        <v>1</v>
      </c>
      <c r="M89">
        <v>300</v>
      </c>
      <c r="N89">
        <v>300</v>
      </c>
      <c r="O89">
        <v>4.5</v>
      </c>
    </row>
    <row r="90" spans="1:15">
      <c r="A90">
        <v>905</v>
      </c>
      <c r="B90">
        <v>2</v>
      </c>
      <c r="C90" t="s">
        <v>16</v>
      </c>
      <c r="D90">
        <v>4</v>
      </c>
      <c r="E90">
        <v>2023</v>
      </c>
      <c r="F90" s="17">
        <v>45018</v>
      </c>
      <c r="G90" t="s">
        <v>116</v>
      </c>
      <c r="H90" t="s">
        <v>18</v>
      </c>
      <c r="I90">
        <v>58</v>
      </c>
      <c r="K90" t="s">
        <v>19</v>
      </c>
      <c r="L90">
        <v>1</v>
      </c>
      <c r="M90">
        <v>300</v>
      </c>
      <c r="N90">
        <v>300</v>
      </c>
      <c r="O90">
        <v>4.5</v>
      </c>
    </row>
    <row r="91" spans="1:15">
      <c r="A91">
        <v>555</v>
      </c>
      <c r="B91">
        <v>19</v>
      </c>
      <c r="C91" t="s">
        <v>30</v>
      </c>
      <c r="D91">
        <v>10</v>
      </c>
      <c r="E91">
        <v>2023</v>
      </c>
      <c r="F91" s="17">
        <v>45218</v>
      </c>
      <c r="G91" t="s">
        <v>117</v>
      </c>
      <c r="H91" t="s">
        <v>18</v>
      </c>
      <c r="I91">
        <v>25</v>
      </c>
      <c r="K91" t="s">
        <v>19</v>
      </c>
      <c r="L91">
        <v>1</v>
      </c>
      <c r="M91">
        <v>300</v>
      </c>
      <c r="N91">
        <v>300</v>
      </c>
      <c r="O91">
        <v>4.5</v>
      </c>
    </row>
    <row r="92" spans="1:15">
      <c r="A92">
        <v>79</v>
      </c>
      <c r="B92">
        <v>18</v>
      </c>
      <c r="C92" t="s">
        <v>16</v>
      </c>
      <c r="D92">
        <v>4</v>
      </c>
      <c r="E92">
        <v>2023</v>
      </c>
      <c r="F92" s="17">
        <v>45034</v>
      </c>
      <c r="G92" t="s">
        <v>118</v>
      </c>
      <c r="H92" t="s">
        <v>18</v>
      </c>
      <c r="I92">
        <v>34</v>
      </c>
      <c r="K92" t="s">
        <v>19</v>
      </c>
      <c r="L92">
        <v>1</v>
      </c>
      <c r="M92">
        <v>300</v>
      </c>
      <c r="N92">
        <v>300</v>
      </c>
      <c r="O92">
        <v>4.5</v>
      </c>
    </row>
    <row r="93" spans="1:15">
      <c r="A93">
        <v>378</v>
      </c>
      <c r="B93">
        <v>28</v>
      </c>
      <c r="C93" t="s">
        <v>26</v>
      </c>
      <c r="D93">
        <v>6</v>
      </c>
      <c r="E93">
        <v>2023</v>
      </c>
      <c r="F93" s="17">
        <v>45105</v>
      </c>
      <c r="G93" t="s">
        <v>119</v>
      </c>
      <c r="H93" t="s">
        <v>18</v>
      </c>
      <c r="I93">
        <v>50</v>
      </c>
      <c r="K93" t="s">
        <v>19</v>
      </c>
      <c r="L93">
        <v>1</v>
      </c>
      <c r="M93">
        <v>300</v>
      </c>
      <c r="N93">
        <v>300</v>
      </c>
      <c r="O93">
        <v>4.5</v>
      </c>
    </row>
    <row r="94" spans="1:15">
      <c r="A94">
        <v>934</v>
      </c>
      <c r="B94">
        <v>25</v>
      </c>
      <c r="C94" t="s">
        <v>58</v>
      </c>
      <c r="D94">
        <v>7</v>
      </c>
      <c r="E94">
        <v>2023</v>
      </c>
      <c r="F94" s="17">
        <v>45132</v>
      </c>
      <c r="G94" t="s">
        <v>120</v>
      </c>
      <c r="H94" t="s">
        <v>18</v>
      </c>
      <c r="I94">
        <v>30</v>
      </c>
      <c r="K94" t="s">
        <v>19</v>
      </c>
      <c r="L94">
        <v>1</v>
      </c>
      <c r="M94">
        <v>500</v>
      </c>
      <c r="N94">
        <v>500</v>
      </c>
      <c r="O94">
        <v>7.5</v>
      </c>
    </row>
    <row r="95" spans="1:15">
      <c r="A95">
        <v>781</v>
      </c>
      <c r="B95">
        <v>23</v>
      </c>
      <c r="C95" t="s">
        <v>62</v>
      </c>
      <c r="D95">
        <v>12</v>
      </c>
      <c r="E95">
        <v>2023</v>
      </c>
      <c r="F95" s="17">
        <v>45283</v>
      </c>
      <c r="G95" t="s">
        <v>121</v>
      </c>
      <c r="H95" t="s">
        <v>18</v>
      </c>
      <c r="I95">
        <v>35</v>
      </c>
      <c r="K95" t="s">
        <v>19</v>
      </c>
      <c r="L95">
        <v>1</v>
      </c>
      <c r="M95">
        <v>500</v>
      </c>
      <c r="N95">
        <v>500</v>
      </c>
      <c r="O95">
        <v>7.5</v>
      </c>
    </row>
    <row r="96" spans="1:15">
      <c r="A96">
        <v>760</v>
      </c>
      <c r="B96">
        <v>27</v>
      </c>
      <c r="C96" t="s">
        <v>92</v>
      </c>
      <c r="D96">
        <v>3</v>
      </c>
      <c r="E96">
        <v>2023</v>
      </c>
      <c r="F96" s="17">
        <v>45012</v>
      </c>
      <c r="G96" t="s">
        <v>122</v>
      </c>
      <c r="H96" t="s">
        <v>18</v>
      </c>
      <c r="I96">
        <v>27</v>
      </c>
      <c r="K96" t="s">
        <v>19</v>
      </c>
      <c r="L96">
        <v>1</v>
      </c>
      <c r="M96">
        <v>500</v>
      </c>
      <c r="N96">
        <v>500</v>
      </c>
      <c r="O96">
        <v>7.5</v>
      </c>
    </row>
    <row r="97" spans="1:15">
      <c r="A97">
        <v>541</v>
      </c>
      <c r="B97">
        <v>29</v>
      </c>
      <c r="C97" t="s">
        <v>58</v>
      </c>
      <c r="D97">
        <v>7</v>
      </c>
      <c r="E97">
        <v>2023</v>
      </c>
      <c r="F97" s="17">
        <v>45136</v>
      </c>
      <c r="G97" t="s">
        <v>123</v>
      </c>
      <c r="H97" t="s">
        <v>18</v>
      </c>
      <c r="I97">
        <v>56</v>
      </c>
      <c r="K97" t="s">
        <v>19</v>
      </c>
      <c r="L97">
        <v>1</v>
      </c>
      <c r="M97">
        <v>500</v>
      </c>
      <c r="N97">
        <v>500</v>
      </c>
      <c r="O97">
        <v>7.5</v>
      </c>
    </row>
    <row r="98" spans="1:15">
      <c r="A98">
        <v>539</v>
      </c>
      <c r="B98">
        <v>8</v>
      </c>
      <c r="C98" t="s">
        <v>26</v>
      </c>
      <c r="D98">
        <v>6</v>
      </c>
      <c r="E98">
        <v>2023</v>
      </c>
      <c r="F98" s="17">
        <v>45085</v>
      </c>
      <c r="G98" t="s">
        <v>124</v>
      </c>
      <c r="H98" t="s">
        <v>18</v>
      </c>
      <c r="I98">
        <v>25</v>
      </c>
      <c r="K98" t="s">
        <v>19</v>
      </c>
      <c r="L98">
        <v>1</v>
      </c>
      <c r="M98">
        <v>500</v>
      </c>
      <c r="N98">
        <v>500</v>
      </c>
      <c r="O98">
        <v>7.5</v>
      </c>
    </row>
    <row r="99" spans="1:15">
      <c r="A99">
        <v>220</v>
      </c>
      <c r="B99">
        <v>3</v>
      </c>
      <c r="C99" t="s">
        <v>92</v>
      </c>
      <c r="D99">
        <v>3</v>
      </c>
      <c r="E99">
        <v>2023</v>
      </c>
      <c r="F99" s="17">
        <v>44988</v>
      </c>
      <c r="G99" t="s">
        <v>125</v>
      </c>
      <c r="H99" t="s">
        <v>18</v>
      </c>
      <c r="I99">
        <v>64</v>
      </c>
      <c r="K99" t="s">
        <v>19</v>
      </c>
      <c r="L99">
        <v>1</v>
      </c>
      <c r="M99">
        <v>500</v>
      </c>
      <c r="N99">
        <v>500</v>
      </c>
      <c r="O99">
        <v>7.5</v>
      </c>
    </row>
    <row r="100" spans="1:15">
      <c r="A100">
        <v>128</v>
      </c>
      <c r="B100">
        <v>5</v>
      </c>
      <c r="C100" t="s">
        <v>58</v>
      </c>
      <c r="D100">
        <v>7</v>
      </c>
      <c r="E100">
        <v>2023</v>
      </c>
      <c r="F100" s="17">
        <v>45112</v>
      </c>
      <c r="G100" t="s">
        <v>126</v>
      </c>
      <c r="H100" t="s">
        <v>18</v>
      </c>
      <c r="I100">
        <v>25</v>
      </c>
      <c r="K100" t="s">
        <v>19</v>
      </c>
      <c r="L100">
        <v>1</v>
      </c>
      <c r="M100">
        <v>500</v>
      </c>
      <c r="N100">
        <v>500</v>
      </c>
      <c r="O100">
        <v>7.5</v>
      </c>
    </row>
    <row r="101" spans="1:15">
      <c r="A101">
        <v>543</v>
      </c>
      <c r="B101">
        <v>26</v>
      </c>
      <c r="C101" t="s">
        <v>58</v>
      </c>
      <c r="D101">
        <v>7</v>
      </c>
      <c r="E101">
        <v>2023</v>
      </c>
      <c r="F101" s="17">
        <v>45133</v>
      </c>
      <c r="G101" t="s">
        <v>127</v>
      </c>
      <c r="H101" t="s">
        <v>18</v>
      </c>
      <c r="I101">
        <v>49</v>
      </c>
      <c r="K101" t="s">
        <v>19</v>
      </c>
      <c r="L101">
        <v>2</v>
      </c>
      <c r="M101">
        <v>300</v>
      </c>
      <c r="N101">
        <v>600</v>
      </c>
      <c r="O101">
        <v>9</v>
      </c>
    </row>
    <row r="102" spans="1:15">
      <c r="A102">
        <v>508</v>
      </c>
      <c r="B102">
        <v>11</v>
      </c>
      <c r="C102" t="s">
        <v>39</v>
      </c>
      <c r="D102">
        <v>8</v>
      </c>
      <c r="E102">
        <v>2023</v>
      </c>
      <c r="F102" s="17">
        <v>45149</v>
      </c>
      <c r="G102" t="s">
        <v>128</v>
      </c>
      <c r="H102" t="s">
        <v>18</v>
      </c>
      <c r="I102">
        <v>58</v>
      </c>
      <c r="K102" t="s">
        <v>19</v>
      </c>
      <c r="L102">
        <v>2</v>
      </c>
      <c r="M102">
        <v>300</v>
      </c>
      <c r="N102">
        <v>600</v>
      </c>
      <c r="O102">
        <v>9</v>
      </c>
    </row>
    <row r="103" spans="1:15">
      <c r="A103">
        <v>302</v>
      </c>
      <c r="B103">
        <v>14</v>
      </c>
      <c r="C103" t="s">
        <v>58</v>
      </c>
      <c r="D103">
        <v>7</v>
      </c>
      <c r="E103">
        <v>2023</v>
      </c>
      <c r="F103" s="17">
        <v>45121</v>
      </c>
      <c r="G103" t="s">
        <v>129</v>
      </c>
      <c r="H103" t="s">
        <v>18</v>
      </c>
      <c r="I103">
        <v>57</v>
      </c>
      <c r="K103" t="s">
        <v>19</v>
      </c>
      <c r="L103">
        <v>2</v>
      </c>
      <c r="M103">
        <v>300</v>
      </c>
      <c r="N103">
        <v>600</v>
      </c>
      <c r="O103">
        <v>9</v>
      </c>
    </row>
    <row r="104" spans="1:15">
      <c r="A104">
        <v>221</v>
      </c>
      <c r="B104">
        <v>7</v>
      </c>
      <c r="C104" t="s">
        <v>32</v>
      </c>
      <c r="D104">
        <v>5</v>
      </c>
      <c r="E104">
        <v>2023</v>
      </c>
      <c r="F104" s="17">
        <v>45053</v>
      </c>
      <c r="G104" t="s">
        <v>130</v>
      </c>
      <c r="H104" t="s">
        <v>18</v>
      </c>
      <c r="I104">
        <v>39</v>
      </c>
      <c r="K104" t="s">
        <v>19</v>
      </c>
      <c r="L104">
        <v>2</v>
      </c>
      <c r="M104">
        <v>300</v>
      </c>
      <c r="N104">
        <v>600</v>
      </c>
      <c r="O104">
        <v>9</v>
      </c>
    </row>
    <row r="105" spans="1:15">
      <c r="A105">
        <v>923</v>
      </c>
      <c r="B105">
        <v>26</v>
      </c>
      <c r="C105" t="s">
        <v>32</v>
      </c>
      <c r="D105">
        <v>5</v>
      </c>
      <c r="E105">
        <v>2023</v>
      </c>
      <c r="F105" s="17">
        <v>45072</v>
      </c>
      <c r="G105" t="s">
        <v>131</v>
      </c>
      <c r="H105" t="s">
        <v>18</v>
      </c>
      <c r="I105">
        <v>32</v>
      </c>
      <c r="K105" t="s">
        <v>19</v>
      </c>
      <c r="L105">
        <v>3</v>
      </c>
      <c r="M105">
        <v>300</v>
      </c>
      <c r="N105">
        <v>900</v>
      </c>
      <c r="O105">
        <v>13.5</v>
      </c>
    </row>
    <row r="106" spans="1:15">
      <c r="A106">
        <v>827</v>
      </c>
      <c r="B106">
        <v>9</v>
      </c>
      <c r="C106" t="s">
        <v>24</v>
      </c>
      <c r="D106">
        <v>11</v>
      </c>
      <c r="E106">
        <v>2023</v>
      </c>
      <c r="F106" s="17">
        <v>45239</v>
      </c>
      <c r="G106" t="s">
        <v>132</v>
      </c>
      <c r="H106" t="s">
        <v>18</v>
      </c>
      <c r="I106">
        <v>61</v>
      </c>
      <c r="K106" t="s">
        <v>19</v>
      </c>
      <c r="L106">
        <v>3</v>
      </c>
      <c r="M106">
        <v>300</v>
      </c>
      <c r="N106">
        <v>900</v>
      </c>
      <c r="O106">
        <v>13.5</v>
      </c>
    </row>
    <row r="107" spans="1:15">
      <c r="A107">
        <v>36</v>
      </c>
      <c r="B107">
        <v>24</v>
      </c>
      <c r="C107" t="s">
        <v>26</v>
      </c>
      <c r="D107">
        <v>6</v>
      </c>
      <c r="E107">
        <v>2023</v>
      </c>
      <c r="F107" s="17">
        <v>45101</v>
      </c>
      <c r="G107" t="s">
        <v>133</v>
      </c>
      <c r="H107" t="s">
        <v>18</v>
      </c>
      <c r="I107">
        <v>52</v>
      </c>
      <c r="K107" t="s">
        <v>19</v>
      </c>
      <c r="L107">
        <v>3</v>
      </c>
      <c r="M107">
        <v>300</v>
      </c>
      <c r="N107">
        <v>900</v>
      </c>
      <c r="O107">
        <v>13.5</v>
      </c>
    </row>
    <row r="108" spans="1:15">
      <c r="A108">
        <v>727</v>
      </c>
      <c r="B108">
        <v>22</v>
      </c>
      <c r="C108" t="s">
        <v>26</v>
      </c>
      <c r="D108">
        <v>6</v>
      </c>
      <c r="E108">
        <v>2023</v>
      </c>
      <c r="F108" s="17">
        <v>45099</v>
      </c>
      <c r="G108" t="s">
        <v>134</v>
      </c>
      <c r="H108" t="s">
        <v>18</v>
      </c>
      <c r="I108">
        <v>55</v>
      </c>
      <c r="K108" t="s">
        <v>19</v>
      </c>
      <c r="L108">
        <v>3</v>
      </c>
      <c r="M108">
        <v>300</v>
      </c>
      <c r="N108">
        <v>900</v>
      </c>
      <c r="O108">
        <v>13.5</v>
      </c>
    </row>
    <row r="109" spans="1:15">
      <c r="A109">
        <v>722</v>
      </c>
      <c r="B109">
        <v>14</v>
      </c>
      <c r="C109" t="s">
        <v>58</v>
      </c>
      <c r="D109">
        <v>7</v>
      </c>
      <c r="E109">
        <v>2023</v>
      </c>
      <c r="F109" s="17">
        <v>45121</v>
      </c>
      <c r="G109" t="s">
        <v>135</v>
      </c>
      <c r="H109" t="s">
        <v>18</v>
      </c>
      <c r="I109">
        <v>20</v>
      </c>
      <c r="K109" t="s">
        <v>19</v>
      </c>
      <c r="L109">
        <v>3</v>
      </c>
      <c r="M109">
        <v>300</v>
      </c>
      <c r="N109">
        <v>900</v>
      </c>
      <c r="O109">
        <v>13.5</v>
      </c>
    </row>
    <row r="110" spans="1:15">
      <c r="A110">
        <v>880</v>
      </c>
      <c r="B110">
        <v>21</v>
      </c>
      <c r="C110" t="s">
        <v>39</v>
      </c>
      <c r="D110">
        <v>8</v>
      </c>
      <c r="E110">
        <v>2023</v>
      </c>
      <c r="F110" s="17">
        <v>45159</v>
      </c>
      <c r="G110" t="s">
        <v>136</v>
      </c>
      <c r="H110" t="s">
        <v>18</v>
      </c>
      <c r="I110">
        <v>22</v>
      </c>
      <c r="K110" t="s">
        <v>19</v>
      </c>
      <c r="L110">
        <v>2</v>
      </c>
      <c r="M110">
        <v>500</v>
      </c>
      <c r="N110">
        <v>1000</v>
      </c>
      <c r="O110">
        <v>15</v>
      </c>
    </row>
    <row r="111" spans="1:15">
      <c r="A111">
        <v>853</v>
      </c>
      <c r="B111">
        <v>4</v>
      </c>
      <c r="C111" t="s">
        <v>32</v>
      </c>
      <c r="D111">
        <v>5</v>
      </c>
      <c r="E111">
        <v>2023</v>
      </c>
      <c r="F111" s="17">
        <v>45050</v>
      </c>
      <c r="G111" t="s">
        <v>137</v>
      </c>
      <c r="H111" t="s">
        <v>18</v>
      </c>
      <c r="I111">
        <v>21</v>
      </c>
      <c r="K111" t="s">
        <v>19</v>
      </c>
      <c r="L111">
        <v>2</v>
      </c>
      <c r="M111">
        <v>500</v>
      </c>
      <c r="N111">
        <v>1000</v>
      </c>
      <c r="O111">
        <v>15</v>
      </c>
    </row>
    <row r="112" spans="1:15">
      <c r="A112">
        <v>816</v>
      </c>
      <c r="B112">
        <v>12</v>
      </c>
      <c r="C112" t="s">
        <v>39</v>
      </c>
      <c r="D112">
        <v>8</v>
      </c>
      <c r="E112">
        <v>2023</v>
      </c>
      <c r="F112" s="17">
        <v>45150</v>
      </c>
      <c r="G112" t="s">
        <v>138</v>
      </c>
      <c r="H112" t="s">
        <v>18</v>
      </c>
      <c r="I112">
        <v>47</v>
      </c>
      <c r="K112" t="s">
        <v>19</v>
      </c>
      <c r="L112">
        <v>2</v>
      </c>
      <c r="M112">
        <v>500</v>
      </c>
      <c r="N112">
        <v>1000</v>
      </c>
      <c r="O112">
        <v>15</v>
      </c>
    </row>
    <row r="113" spans="1:15">
      <c r="A113">
        <v>683</v>
      </c>
      <c r="B113">
        <v>4</v>
      </c>
      <c r="C113" t="s">
        <v>46</v>
      </c>
      <c r="D113">
        <v>1</v>
      </c>
      <c r="E113">
        <v>2023</v>
      </c>
      <c r="F113" s="17">
        <v>44930</v>
      </c>
      <c r="G113" t="s">
        <v>139</v>
      </c>
      <c r="H113" t="s">
        <v>18</v>
      </c>
      <c r="I113">
        <v>38</v>
      </c>
      <c r="K113" t="s">
        <v>19</v>
      </c>
      <c r="L113">
        <v>2</v>
      </c>
      <c r="M113">
        <v>500</v>
      </c>
      <c r="N113">
        <v>1000</v>
      </c>
      <c r="O113">
        <v>15</v>
      </c>
    </row>
    <row r="114" spans="1:15">
      <c r="A114">
        <v>662</v>
      </c>
      <c r="B114">
        <v>22</v>
      </c>
      <c r="C114" t="s">
        <v>62</v>
      </c>
      <c r="D114">
        <v>12</v>
      </c>
      <c r="E114">
        <v>2023</v>
      </c>
      <c r="F114" s="17">
        <v>45282</v>
      </c>
      <c r="G114" t="s">
        <v>140</v>
      </c>
      <c r="H114" t="s">
        <v>18</v>
      </c>
      <c r="I114">
        <v>48</v>
      </c>
      <c r="K114" t="s">
        <v>19</v>
      </c>
      <c r="L114">
        <v>2</v>
      </c>
      <c r="M114">
        <v>500</v>
      </c>
      <c r="N114">
        <v>1000</v>
      </c>
      <c r="O114">
        <v>15</v>
      </c>
    </row>
    <row r="115" spans="1:15">
      <c r="A115">
        <v>137</v>
      </c>
      <c r="B115">
        <v>18</v>
      </c>
      <c r="C115" t="s">
        <v>24</v>
      </c>
      <c r="D115">
        <v>11</v>
      </c>
      <c r="E115">
        <v>2023</v>
      </c>
      <c r="F115" s="17">
        <v>45248</v>
      </c>
      <c r="G115" t="s">
        <v>141</v>
      </c>
      <c r="H115" t="s">
        <v>18</v>
      </c>
      <c r="I115">
        <v>46</v>
      </c>
      <c r="K115" t="s">
        <v>19</v>
      </c>
      <c r="L115">
        <v>2</v>
      </c>
      <c r="M115">
        <v>500</v>
      </c>
      <c r="N115">
        <v>1000</v>
      </c>
      <c r="O115">
        <v>15</v>
      </c>
    </row>
    <row r="116" spans="1:15">
      <c r="A116">
        <v>161</v>
      </c>
      <c r="B116">
        <v>22</v>
      </c>
      <c r="C116" t="s">
        <v>92</v>
      </c>
      <c r="D116">
        <v>3</v>
      </c>
      <c r="E116">
        <v>2023</v>
      </c>
      <c r="F116" s="17">
        <v>45007</v>
      </c>
      <c r="G116" t="s">
        <v>142</v>
      </c>
      <c r="H116" t="s">
        <v>18</v>
      </c>
      <c r="I116">
        <v>64</v>
      </c>
      <c r="K116" t="s">
        <v>19</v>
      </c>
      <c r="L116">
        <v>2</v>
      </c>
      <c r="M116">
        <v>500</v>
      </c>
      <c r="N116">
        <v>1000</v>
      </c>
      <c r="O116">
        <v>15</v>
      </c>
    </row>
    <row r="117" spans="1:15">
      <c r="A117">
        <v>908</v>
      </c>
      <c r="B117">
        <v>29</v>
      </c>
      <c r="C117" t="s">
        <v>62</v>
      </c>
      <c r="D117">
        <v>12</v>
      </c>
      <c r="E117">
        <v>2023</v>
      </c>
      <c r="F117" s="17">
        <v>45289</v>
      </c>
      <c r="G117" t="s">
        <v>143</v>
      </c>
      <c r="H117" t="s">
        <v>18</v>
      </c>
      <c r="I117">
        <v>46</v>
      </c>
      <c r="K117" t="s">
        <v>19</v>
      </c>
      <c r="L117">
        <v>4</v>
      </c>
      <c r="M117">
        <v>300</v>
      </c>
      <c r="N117">
        <v>1200</v>
      </c>
      <c r="O117">
        <v>18</v>
      </c>
    </row>
    <row r="118" spans="1:15">
      <c r="A118">
        <v>682</v>
      </c>
      <c r="B118">
        <v>2</v>
      </c>
      <c r="C118" t="s">
        <v>22</v>
      </c>
      <c r="D118">
        <v>9</v>
      </c>
      <c r="E118">
        <v>2023</v>
      </c>
      <c r="F118" s="17">
        <v>45171</v>
      </c>
      <c r="G118" t="s">
        <v>144</v>
      </c>
      <c r="H118" t="s">
        <v>18</v>
      </c>
      <c r="I118">
        <v>46</v>
      </c>
      <c r="K118" t="s">
        <v>19</v>
      </c>
      <c r="L118">
        <v>4</v>
      </c>
      <c r="M118">
        <v>300</v>
      </c>
      <c r="N118">
        <v>1200</v>
      </c>
      <c r="O118">
        <v>18</v>
      </c>
    </row>
    <row r="119" spans="1:15">
      <c r="A119">
        <v>669</v>
      </c>
      <c r="B119">
        <v>19</v>
      </c>
      <c r="C119" t="s">
        <v>26</v>
      </c>
      <c r="D119">
        <v>6</v>
      </c>
      <c r="E119">
        <v>2023</v>
      </c>
      <c r="F119" s="17">
        <v>45096</v>
      </c>
      <c r="G119" t="s">
        <v>145</v>
      </c>
      <c r="H119" t="s">
        <v>18</v>
      </c>
      <c r="I119">
        <v>24</v>
      </c>
      <c r="K119" t="s">
        <v>19</v>
      </c>
      <c r="L119">
        <v>4</v>
      </c>
      <c r="M119">
        <v>300</v>
      </c>
      <c r="N119">
        <v>1200</v>
      </c>
      <c r="O119">
        <v>18</v>
      </c>
    </row>
    <row r="120" spans="1:15">
      <c r="A120">
        <v>648</v>
      </c>
      <c r="B120">
        <v>14</v>
      </c>
      <c r="C120" t="s">
        <v>39</v>
      </c>
      <c r="D120">
        <v>8</v>
      </c>
      <c r="E120">
        <v>2023</v>
      </c>
      <c r="F120" s="17">
        <v>45152</v>
      </c>
      <c r="G120" t="s">
        <v>146</v>
      </c>
      <c r="H120" t="s">
        <v>18</v>
      </c>
      <c r="I120">
        <v>53</v>
      </c>
      <c r="K120" t="s">
        <v>19</v>
      </c>
      <c r="L120">
        <v>4</v>
      </c>
      <c r="M120">
        <v>300</v>
      </c>
      <c r="N120">
        <v>1200</v>
      </c>
      <c r="O120">
        <v>18</v>
      </c>
    </row>
    <row r="121" spans="1:15">
      <c r="A121">
        <v>597</v>
      </c>
      <c r="B121">
        <v>22</v>
      </c>
      <c r="C121" t="s">
        <v>39</v>
      </c>
      <c r="D121">
        <v>8</v>
      </c>
      <c r="E121">
        <v>2023</v>
      </c>
      <c r="F121" s="17">
        <v>45160</v>
      </c>
      <c r="G121" t="s">
        <v>147</v>
      </c>
      <c r="H121" t="s">
        <v>18</v>
      </c>
      <c r="I121">
        <v>22</v>
      </c>
      <c r="K121" t="s">
        <v>19</v>
      </c>
      <c r="L121">
        <v>4</v>
      </c>
      <c r="M121">
        <v>300</v>
      </c>
      <c r="N121">
        <v>1200</v>
      </c>
      <c r="O121">
        <v>18</v>
      </c>
    </row>
    <row r="122" spans="1:15">
      <c r="A122">
        <v>524</v>
      </c>
      <c r="B122">
        <v>3</v>
      </c>
      <c r="C122" t="s">
        <v>30</v>
      </c>
      <c r="D122">
        <v>10</v>
      </c>
      <c r="E122">
        <v>2023</v>
      </c>
      <c r="F122" s="17">
        <v>45202</v>
      </c>
      <c r="G122" t="s">
        <v>148</v>
      </c>
      <c r="H122" t="s">
        <v>18</v>
      </c>
      <c r="I122">
        <v>46</v>
      </c>
      <c r="K122" t="s">
        <v>19</v>
      </c>
      <c r="L122">
        <v>4</v>
      </c>
      <c r="M122">
        <v>300</v>
      </c>
      <c r="N122">
        <v>1200</v>
      </c>
      <c r="O122">
        <v>18</v>
      </c>
    </row>
    <row r="123" spans="1:15">
      <c r="A123">
        <v>441</v>
      </c>
      <c r="B123">
        <v>10</v>
      </c>
      <c r="C123" t="s">
        <v>30</v>
      </c>
      <c r="D123">
        <v>10</v>
      </c>
      <c r="E123">
        <v>2023</v>
      </c>
      <c r="F123" s="17">
        <v>45209</v>
      </c>
      <c r="G123" t="s">
        <v>149</v>
      </c>
      <c r="H123" t="s">
        <v>18</v>
      </c>
      <c r="I123">
        <v>57</v>
      </c>
      <c r="K123" t="s">
        <v>19</v>
      </c>
      <c r="L123">
        <v>4</v>
      </c>
      <c r="M123">
        <v>300</v>
      </c>
      <c r="N123">
        <v>1200</v>
      </c>
      <c r="O123">
        <v>18</v>
      </c>
    </row>
    <row r="124" spans="1:15">
      <c r="A124">
        <v>424</v>
      </c>
      <c r="B124">
        <v>23</v>
      </c>
      <c r="C124" t="s">
        <v>24</v>
      </c>
      <c r="D124">
        <v>11</v>
      </c>
      <c r="E124">
        <v>2023</v>
      </c>
      <c r="F124" s="17">
        <v>45253</v>
      </c>
      <c r="G124" t="s">
        <v>150</v>
      </c>
      <c r="H124" t="s">
        <v>18</v>
      </c>
      <c r="I124">
        <v>57</v>
      </c>
      <c r="K124" t="s">
        <v>19</v>
      </c>
      <c r="L124">
        <v>4</v>
      </c>
      <c r="M124">
        <v>300</v>
      </c>
      <c r="N124">
        <v>1200</v>
      </c>
      <c r="O124">
        <v>18</v>
      </c>
    </row>
    <row r="125" spans="1:15">
      <c r="A125">
        <v>298</v>
      </c>
      <c r="B125">
        <v>20</v>
      </c>
      <c r="C125" t="s">
        <v>16</v>
      </c>
      <c r="D125">
        <v>4</v>
      </c>
      <c r="E125">
        <v>2023</v>
      </c>
      <c r="F125" s="17">
        <v>45036</v>
      </c>
      <c r="G125" t="s">
        <v>151</v>
      </c>
      <c r="H125" t="s">
        <v>18</v>
      </c>
      <c r="I125">
        <v>27</v>
      </c>
      <c r="K125" t="s">
        <v>19</v>
      </c>
      <c r="L125">
        <v>4</v>
      </c>
      <c r="M125">
        <v>300</v>
      </c>
      <c r="N125">
        <v>1200</v>
      </c>
      <c r="O125">
        <v>18</v>
      </c>
    </row>
    <row r="126" spans="1:15">
      <c r="A126">
        <v>292</v>
      </c>
      <c r="B126">
        <v>17</v>
      </c>
      <c r="C126" t="s">
        <v>20</v>
      </c>
      <c r="D126">
        <v>2</v>
      </c>
      <c r="E126">
        <v>2023</v>
      </c>
      <c r="F126" s="17">
        <v>44974</v>
      </c>
      <c r="G126" t="s">
        <v>152</v>
      </c>
      <c r="H126" t="s">
        <v>18</v>
      </c>
      <c r="I126">
        <v>20</v>
      </c>
      <c r="K126" t="s">
        <v>19</v>
      </c>
      <c r="L126">
        <v>4</v>
      </c>
      <c r="M126">
        <v>300</v>
      </c>
      <c r="N126">
        <v>1200</v>
      </c>
      <c r="O126">
        <v>18</v>
      </c>
    </row>
    <row r="127" spans="1:15">
      <c r="A127">
        <v>869</v>
      </c>
      <c r="B127">
        <v>25</v>
      </c>
      <c r="C127" t="s">
        <v>30</v>
      </c>
      <c r="D127">
        <v>10</v>
      </c>
      <c r="E127">
        <v>2023</v>
      </c>
      <c r="F127" s="17">
        <v>45224</v>
      </c>
      <c r="G127" t="s">
        <v>153</v>
      </c>
      <c r="H127" t="s">
        <v>18</v>
      </c>
      <c r="I127">
        <v>37</v>
      </c>
      <c r="K127" t="s">
        <v>19</v>
      </c>
      <c r="L127">
        <v>3</v>
      </c>
      <c r="M127">
        <v>500</v>
      </c>
      <c r="N127">
        <v>1500</v>
      </c>
      <c r="O127">
        <v>22.5</v>
      </c>
    </row>
    <row r="128" spans="1:15">
      <c r="A128">
        <v>843</v>
      </c>
      <c r="B128">
        <v>22</v>
      </c>
      <c r="C128" t="s">
        <v>32</v>
      </c>
      <c r="D128">
        <v>5</v>
      </c>
      <c r="E128">
        <v>2023</v>
      </c>
      <c r="F128" s="17">
        <v>45068</v>
      </c>
      <c r="G128" t="s">
        <v>154</v>
      </c>
      <c r="H128" t="s">
        <v>18</v>
      </c>
      <c r="I128">
        <v>21</v>
      </c>
      <c r="K128" t="s">
        <v>19</v>
      </c>
      <c r="L128">
        <v>3</v>
      </c>
      <c r="M128">
        <v>500</v>
      </c>
      <c r="N128">
        <v>1500</v>
      </c>
      <c r="O128">
        <v>22.5</v>
      </c>
    </row>
    <row r="129" spans="1:15">
      <c r="A129">
        <v>693</v>
      </c>
      <c r="B129">
        <v>23</v>
      </c>
      <c r="C129" t="s">
        <v>16</v>
      </c>
      <c r="D129">
        <v>4</v>
      </c>
      <c r="E129">
        <v>2023</v>
      </c>
      <c r="F129" s="17">
        <v>45039</v>
      </c>
      <c r="G129" t="s">
        <v>155</v>
      </c>
      <c r="H129" t="s">
        <v>18</v>
      </c>
      <c r="I129">
        <v>41</v>
      </c>
      <c r="K129" t="s">
        <v>19</v>
      </c>
      <c r="L129">
        <v>3</v>
      </c>
      <c r="M129">
        <v>500</v>
      </c>
      <c r="N129">
        <v>1500</v>
      </c>
      <c r="O129">
        <v>22.5</v>
      </c>
    </row>
    <row r="130" spans="1:15">
      <c r="A130">
        <v>611</v>
      </c>
      <c r="B130">
        <v>24</v>
      </c>
      <c r="C130" t="s">
        <v>20</v>
      </c>
      <c r="D130">
        <v>2</v>
      </c>
      <c r="E130">
        <v>2023</v>
      </c>
      <c r="F130" s="17">
        <v>44981</v>
      </c>
      <c r="G130" t="s">
        <v>156</v>
      </c>
      <c r="H130" t="s">
        <v>18</v>
      </c>
      <c r="I130">
        <v>51</v>
      </c>
      <c r="K130" t="s">
        <v>19</v>
      </c>
      <c r="L130">
        <v>3</v>
      </c>
      <c r="M130">
        <v>500</v>
      </c>
      <c r="N130">
        <v>1500</v>
      </c>
      <c r="O130">
        <v>22.5</v>
      </c>
    </row>
    <row r="131" spans="1:15">
      <c r="A131">
        <v>522</v>
      </c>
      <c r="B131">
        <v>1</v>
      </c>
      <c r="C131" t="s">
        <v>46</v>
      </c>
      <c r="D131">
        <v>1</v>
      </c>
      <c r="E131">
        <v>2023</v>
      </c>
      <c r="F131" s="17">
        <v>44927</v>
      </c>
      <c r="G131" t="s">
        <v>157</v>
      </c>
      <c r="H131" t="s">
        <v>18</v>
      </c>
      <c r="I131">
        <v>46</v>
      </c>
      <c r="K131" t="s">
        <v>19</v>
      </c>
      <c r="L131">
        <v>3</v>
      </c>
      <c r="M131">
        <v>500</v>
      </c>
      <c r="N131">
        <v>1500</v>
      </c>
      <c r="O131">
        <v>22.5</v>
      </c>
    </row>
    <row r="132" spans="1:15">
      <c r="A132">
        <v>506</v>
      </c>
      <c r="B132">
        <v>25</v>
      </c>
      <c r="C132" t="s">
        <v>20</v>
      </c>
      <c r="D132">
        <v>2</v>
      </c>
      <c r="E132">
        <v>2023</v>
      </c>
      <c r="F132" s="17">
        <v>44982</v>
      </c>
      <c r="G132" t="s">
        <v>158</v>
      </c>
      <c r="H132" t="s">
        <v>18</v>
      </c>
      <c r="I132">
        <v>34</v>
      </c>
      <c r="K132" t="s">
        <v>19</v>
      </c>
      <c r="L132">
        <v>3</v>
      </c>
      <c r="M132">
        <v>500</v>
      </c>
      <c r="N132">
        <v>1500</v>
      </c>
      <c r="O132">
        <v>22.5</v>
      </c>
    </row>
    <row r="133" spans="1:15">
      <c r="A133">
        <v>213</v>
      </c>
      <c r="B133">
        <v>24</v>
      </c>
      <c r="C133" t="s">
        <v>58</v>
      </c>
      <c r="D133">
        <v>7</v>
      </c>
      <c r="E133">
        <v>2023</v>
      </c>
      <c r="F133" s="17">
        <v>45131</v>
      </c>
      <c r="G133" t="s">
        <v>159</v>
      </c>
      <c r="H133" t="s">
        <v>18</v>
      </c>
      <c r="I133">
        <v>27</v>
      </c>
      <c r="K133" t="s">
        <v>19</v>
      </c>
      <c r="L133">
        <v>3</v>
      </c>
      <c r="M133">
        <v>500</v>
      </c>
      <c r="N133">
        <v>1500</v>
      </c>
      <c r="O133">
        <v>22.5</v>
      </c>
    </row>
    <row r="134" spans="1:15">
      <c r="A134">
        <v>211</v>
      </c>
      <c r="B134">
        <v>1</v>
      </c>
      <c r="C134" t="s">
        <v>46</v>
      </c>
      <c r="D134">
        <v>1</v>
      </c>
      <c r="E134">
        <v>2024</v>
      </c>
      <c r="F134" s="17">
        <v>45292</v>
      </c>
      <c r="G134" t="s">
        <v>160</v>
      </c>
      <c r="H134" t="s">
        <v>18</v>
      </c>
      <c r="I134">
        <v>42</v>
      </c>
      <c r="K134" t="s">
        <v>19</v>
      </c>
      <c r="L134">
        <v>3</v>
      </c>
      <c r="M134">
        <v>500</v>
      </c>
      <c r="N134">
        <v>1500</v>
      </c>
      <c r="O134">
        <v>22.5</v>
      </c>
    </row>
    <row r="135" spans="1:15">
      <c r="A135">
        <v>199</v>
      </c>
      <c r="B135">
        <v>4</v>
      </c>
      <c r="C135" t="s">
        <v>62</v>
      </c>
      <c r="D135">
        <v>12</v>
      </c>
      <c r="E135">
        <v>2023</v>
      </c>
      <c r="F135" s="17">
        <v>45264</v>
      </c>
      <c r="G135" t="s">
        <v>161</v>
      </c>
      <c r="H135" t="s">
        <v>18</v>
      </c>
      <c r="I135">
        <v>45</v>
      </c>
      <c r="K135" t="s">
        <v>19</v>
      </c>
      <c r="L135">
        <v>3</v>
      </c>
      <c r="M135">
        <v>500</v>
      </c>
      <c r="N135">
        <v>1500</v>
      </c>
      <c r="O135">
        <v>22.5</v>
      </c>
    </row>
    <row r="136" spans="1:15">
      <c r="A136">
        <v>193</v>
      </c>
      <c r="B136">
        <v>13</v>
      </c>
      <c r="C136" t="s">
        <v>20</v>
      </c>
      <c r="D136">
        <v>2</v>
      </c>
      <c r="E136">
        <v>2023</v>
      </c>
      <c r="F136" s="17">
        <v>44970</v>
      </c>
      <c r="G136" t="s">
        <v>162</v>
      </c>
      <c r="H136" t="s">
        <v>18</v>
      </c>
      <c r="I136">
        <v>35</v>
      </c>
      <c r="K136" t="s">
        <v>19</v>
      </c>
      <c r="L136">
        <v>3</v>
      </c>
      <c r="M136">
        <v>500</v>
      </c>
      <c r="N136">
        <v>1500</v>
      </c>
      <c r="O136">
        <v>22.5</v>
      </c>
    </row>
    <row r="137" spans="1:15">
      <c r="A137">
        <v>169</v>
      </c>
      <c r="B137">
        <v>17</v>
      </c>
      <c r="C137" t="s">
        <v>24</v>
      </c>
      <c r="D137">
        <v>11</v>
      </c>
      <c r="E137">
        <v>2023</v>
      </c>
      <c r="F137" s="17">
        <v>45247</v>
      </c>
      <c r="G137" t="s">
        <v>163</v>
      </c>
      <c r="H137" t="s">
        <v>18</v>
      </c>
      <c r="I137">
        <v>18</v>
      </c>
      <c r="K137" t="s">
        <v>19</v>
      </c>
      <c r="L137">
        <v>3</v>
      </c>
      <c r="M137">
        <v>500</v>
      </c>
      <c r="N137">
        <v>1500</v>
      </c>
      <c r="O137">
        <v>22.5</v>
      </c>
    </row>
    <row r="138" spans="1:15">
      <c r="A138">
        <v>832</v>
      </c>
      <c r="B138">
        <v>11</v>
      </c>
      <c r="C138" t="s">
        <v>22</v>
      </c>
      <c r="D138">
        <v>9</v>
      </c>
      <c r="E138">
        <v>2023</v>
      </c>
      <c r="F138" s="17">
        <v>45180</v>
      </c>
      <c r="G138" t="s">
        <v>164</v>
      </c>
      <c r="H138" t="s">
        <v>18</v>
      </c>
      <c r="I138">
        <v>47</v>
      </c>
      <c r="K138" t="s">
        <v>19</v>
      </c>
      <c r="L138">
        <v>4</v>
      </c>
      <c r="M138">
        <v>500</v>
      </c>
      <c r="N138">
        <v>2000</v>
      </c>
      <c r="O138">
        <v>30</v>
      </c>
    </row>
    <row r="139" spans="1:15">
      <c r="A139">
        <v>808</v>
      </c>
      <c r="B139">
        <v>1</v>
      </c>
      <c r="C139" t="s">
        <v>16</v>
      </c>
      <c r="D139">
        <v>4</v>
      </c>
      <c r="E139">
        <v>2023</v>
      </c>
      <c r="F139" s="17">
        <v>45017</v>
      </c>
      <c r="G139" t="s">
        <v>165</v>
      </c>
      <c r="H139" t="s">
        <v>18</v>
      </c>
      <c r="I139">
        <v>33</v>
      </c>
      <c r="K139" t="s">
        <v>19</v>
      </c>
      <c r="L139">
        <v>4</v>
      </c>
      <c r="M139">
        <v>500</v>
      </c>
      <c r="N139">
        <v>2000</v>
      </c>
      <c r="O139">
        <v>30</v>
      </c>
    </row>
    <row r="140" spans="1:15">
      <c r="A140">
        <v>577</v>
      </c>
      <c r="B140">
        <v>13</v>
      </c>
      <c r="C140" t="s">
        <v>20</v>
      </c>
      <c r="D140">
        <v>2</v>
      </c>
      <c r="E140">
        <v>2023</v>
      </c>
      <c r="F140" s="17">
        <v>44970</v>
      </c>
      <c r="G140" t="s">
        <v>166</v>
      </c>
      <c r="H140" t="s">
        <v>18</v>
      </c>
      <c r="I140">
        <v>21</v>
      </c>
      <c r="K140" t="s">
        <v>19</v>
      </c>
      <c r="L140">
        <v>4</v>
      </c>
      <c r="M140">
        <v>500</v>
      </c>
      <c r="N140">
        <v>2000</v>
      </c>
      <c r="O140">
        <v>30</v>
      </c>
    </row>
    <row r="141" spans="1:15">
      <c r="A141">
        <v>503</v>
      </c>
      <c r="B141">
        <v>25</v>
      </c>
      <c r="C141" t="s">
        <v>30</v>
      </c>
      <c r="D141">
        <v>10</v>
      </c>
      <c r="E141">
        <v>2023</v>
      </c>
      <c r="F141" s="17">
        <v>45224</v>
      </c>
      <c r="G141" t="s">
        <v>167</v>
      </c>
      <c r="H141" t="s">
        <v>18</v>
      </c>
      <c r="I141">
        <v>45</v>
      </c>
      <c r="K141" t="s">
        <v>19</v>
      </c>
      <c r="L141">
        <v>4</v>
      </c>
      <c r="M141">
        <v>500</v>
      </c>
      <c r="N141">
        <v>2000</v>
      </c>
      <c r="O141">
        <v>30</v>
      </c>
    </row>
    <row r="142" spans="1:15">
      <c r="A142">
        <v>447</v>
      </c>
      <c r="B142">
        <v>6</v>
      </c>
      <c r="C142" t="s">
        <v>58</v>
      </c>
      <c r="D142">
        <v>7</v>
      </c>
      <c r="E142">
        <v>2023</v>
      </c>
      <c r="F142" s="17">
        <v>45113</v>
      </c>
      <c r="G142" t="s">
        <v>168</v>
      </c>
      <c r="H142" t="s">
        <v>18</v>
      </c>
      <c r="I142">
        <v>22</v>
      </c>
      <c r="K142" t="s">
        <v>19</v>
      </c>
      <c r="L142">
        <v>4</v>
      </c>
      <c r="M142">
        <v>500</v>
      </c>
      <c r="N142">
        <v>2000</v>
      </c>
      <c r="O142">
        <v>30</v>
      </c>
    </row>
    <row r="143" spans="1:15">
      <c r="A143">
        <v>257</v>
      </c>
      <c r="B143">
        <v>19</v>
      </c>
      <c r="C143" t="s">
        <v>20</v>
      </c>
      <c r="D143">
        <v>2</v>
      </c>
      <c r="E143">
        <v>2023</v>
      </c>
      <c r="F143" s="17">
        <v>44976</v>
      </c>
      <c r="G143" t="s">
        <v>169</v>
      </c>
      <c r="H143" t="s">
        <v>18</v>
      </c>
      <c r="I143">
        <v>19</v>
      </c>
      <c r="K143" t="s">
        <v>19</v>
      </c>
      <c r="L143">
        <v>4</v>
      </c>
      <c r="M143">
        <v>500</v>
      </c>
      <c r="N143">
        <v>2000</v>
      </c>
      <c r="O143">
        <v>30</v>
      </c>
    </row>
    <row r="144" spans="1:15">
      <c r="A144">
        <v>139</v>
      </c>
      <c r="B144">
        <v>15</v>
      </c>
      <c r="C144" t="s">
        <v>62</v>
      </c>
      <c r="D144">
        <v>12</v>
      </c>
      <c r="E144">
        <v>2023</v>
      </c>
      <c r="F144" s="17">
        <v>45275</v>
      </c>
      <c r="G144" t="s">
        <v>170</v>
      </c>
      <c r="H144" t="s">
        <v>18</v>
      </c>
      <c r="I144">
        <v>36</v>
      </c>
      <c r="K144" t="s">
        <v>19</v>
      </c>
      <c r="L144">
        <v>4</v>
      </c>
      <c r="M144">
        <v>500</v>
      </c>
      <c r="N144">
        <v>2000</v>
      </c>
      <c r="O144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E1" sqref="E1:E1048576"/>
    </sheetView>
  </sheetViews>
  <sheetFormatPr defaultRowHeight="15.6"/>
  <cols>
    <col min="1" max="1" width="14.5" customWidth="1"/>
    <col min="2" max="2" width="9.125" customWidth="1"/>
    <col min="6" max="6" width="11.25" bestFit="1" customWidth="1"/>
  </cols>
  <sheetData>
    <row r="1" spans="1:6">
      <c r="A1" s="10" t="s">
        <v>171</v>
      </c>
      <c r="B1" s="11" t="s">
        <v>172</v>
      </c>
      <c r="C1" s="11" t="s">
        <v>173</v>
      </c>
      <c r="D1" s="11" t="s">
        <v>174</v>
      </c>
      <c r="E1" s="11" t="s">
        <v>175</v>
      </c>
      <c r="F1" s="11" t="s">
        <v>176</v>
      </c>
    </row>
    <row r="2" spans="1:6">
      <c r="A2" s="10" t="s">
        <v>177</v>
      </c>
      <c r="B2" s="10">
        <v>75</v>
      </c>
      <c r="C2" s="10">
        <v>85</v>
      </c>
      <c r="D2" s="10">
        <v>85</v>
      </c>
      <c r="E2" s="10"/>
      <c r="F2" s="10"/>
    </row>
    <row r="3" spans="1:6">
      <c r="A3" s="12" t="s">
        <v>178</v>
      </c>
      <c r="B3" s="10">
        <v>80</v>
      </c>
      <c r="C3" s="10">
        <v>75</v>
      </c>
      <c r="D3" s="10">
        <v>90</v>
      </c>
      <c r="E3" s="10"/>
      <c r="F3" s="10"/>
    </row>
    <row r="4" spans="1:6">
      <c r="A4" s="12" t="s">
        <v>179</v>
      </c>
      <c r="B4" s="10">
        <v>85</v>
      </c>
      <c r="C4" s="10">
        <v>75</v>
      </c>
      <c r="D4" s="10">
        <v>80</v>
      </c>
      <c r="E4" s="10"/>
      <c r="F4" s="10"/>
    </row>
    <row r="5" spans="1:6">
      <c r="A5" s="12" t="s">
        <v>180</v>
      </c>
      <c r="B5" s="10">
        <v>80</v>
      </c>
      <c r="C5" s="10">
        <v>70</v>
      </c>
      <c r="D5" s="10">
        <v>80</v>
      </c>
      <c r="E5" s="10"/>
      <c r="F5" s="10"/>
    </row>
    <row r="6" spans="1:6">
      <c r="A6" s="10" t="s">
        <v>181</v>
      </c>
      <c r="B6" s="10">
        <v>80</v>
      </c>
      <c r="C6" s="10">
        <v>70</v>
      </c>
      <c r="D6" s="10">
        <v>80</v>
      </c>
      <c r="E6" s="10"/>
      <c r="F6" s="10"/>
    </row>
    <row r="7" spans="1:6">
      <c r="A7" s="12" t="s">
        <v>182</v>
      </c>
      <c r="B7" s="10">
        <v>65</v>
      </c>
      <c r="C7" s="10">
        <v>80</v>
      </c>
      <c r="D7" s="10">
        <v>70</v>
      </c>
      <c r="E7" s="10"/>
      <c r="F7" s="10"/>
    </row>
    <row r="8" spans="1:6">
      <c r="A8" s="12" t="s">
        <v>183</v>
      </c>
      <c r="B8" s="10">
        <v>90</v>
      </c>
      <c r="C8" s="10">
        <v>50</v>
      </c>
      <c r="D8" s="10">
        <v>70</v>
      </c>
      <c r="E8" s="10"/>
      <c r="F8" s="10"/>
    </row>
    <row r="9" spans="1:6">
      <c r="A9" s="10" t="s">
        <v>184</v>
      </c>
      <c r="B9" s="10">
        <v>55</v>
      </c>
      <c r="C9" s="10">
        <v>80</v>
      </c>
      <c r="D9" s="10">
        <v>60</v>
      </c>
      <c r="E9" s="10"/>
      <c r="F9" s="10"/>
    </row>
    <row r="10" spans="1:6">
      <c r="A10" s="12" t="s">
        <v>185</v>
      </c>
      <c r="B10" s="10">
        <v>55</v>
      </c>
      <c r="C10" s="10">
        <v>70</v>
      </c>
      <c r="D10" s="10">
        <v>65</v>
      </c>
      <c r="E10" s="10"/>
      <c r="F10" s="10"/>
    </row>
    <row r="11" spans="1:6">
      <c r="A11" s="10" t="s">
        <v>186</v>
      </c>
      <c r="B11" s="10">
        <v>55</v>
      </c>
      <c r="C11" s="10">
        <v>30</v>
      </c>
      <c r="D11" s="10">
        <v>65</v>
      </c>
      <c r="E11" s="10"/>
      <c r="F11" s="10"/>
    </row>
    <row r="14" spans="1:6">
      <c r="A14" t="s">
        <v>187</v>
      </c>
    </row>
    <row r="15" spans="1:6">
      <c r="A15" t="s">
        <v>188</v>
      </c>
    </row>
    <row r="16" spans="1:6">
      <c r="A16" t="s">
        <v>189</v>
      </c>
    </row>
    <row r="17" spans="1:1">
      <c r="A17" t="s">
        <v>190</v>
      </c>
    </row>
    <row r="18" spans="1:1">
      <c r="A18" t="s">
        <v>191</v>
      </c>
    </row>
    <row r="19" spans="1:1">
      <c r="A19" t="s">
        <v>192</v>
      </c>
    </row>
    <row r="20" spans="1:1">
      <c r="A20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6D4D-81E7-4FCE-ACB3-9787BBD17355}">
  <dimension ref="A3:I12"/>
  <sheetViews>
    <sheetView workbookViewId="0">
      <selection activeCell="D6" sqref="D6"/>
    </sheetView>
  </sheetViews>
  <sheetFormatPr defaultRowHeight="15.6"/>
  <cols>
    <col min="1" max="1" width="17.37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  <col min="6" max="6" width="10" bestFit="1" customWidth="1"/>
    <col min="7" max="7" width="11.5" bestFit="1" customWidth="1"/>
    <col min="8" max="8" width="10.75" bestFit="1" customWidth="1"/>
    <col min="9" max="9" width="19.5" bestFit="1" customWidth="1"/>
    <col min="10" max="10" width="12.125" bestFit="1" customWidth="1"/>
  </cols>
  <sheetData>
    <row r="3" spans="1:9" s="13" customFormat="1">
      <c r="A3" s="16" t="s">
        <v>194</v>
      </c>
      <c r="B3" s="16" t="s">
        <v>11</v>
      </c>
      <c r="F3"/>
      <c r="G3"/>
      <c r="H3"/>
      <c r="I3"/>
    </row>
    <row r="4" spans="1:9" s="13" customFormat="1">
      <c r="A4" s="16" t="s">
        <v>8</v>
      </c>
      <c r="B4" s="13" t="s">
        <v>19</v>
      </c>
      <c r="C4" s="13" t="s">
        <v>195</v>
      </c>
      <c r="D4" s="13" t="s">
        <v>196</v>
      </c>
      <c r="E4" s="13" t="s">
        <v>197</v>
      </c>
      <c r="F4"/>
      <c r="G4"/>
      <c r="H4"/>
      <c r="I4"/>
    </row>
    <row r="5" spans="1:9" s="13" customFormat="1">
      <c r="A5" s="13" t="s">
        <v>198</v>
      </c>
      <c r="B5" s="13">
        <v>0.16410087719298247</v>
      </c>
      <c r="C5" s="13">
        <v>0.17823464912280701</v>
      </c>
      <c r="D5" s="13">
        <v>0.16827850877192982</v>
      </c>
      <c r="E5" s="13">
        <v>0.5106140350877193</v>
      </c>
      <c r="F5"/>
      <c r="G5"/>
      <c r="H5"/>
      <c r="I5"/>
    </row>
    <row r="6" spans="1:9" s="13" customFormat="1">
      <c r="A6" s="13" t="s">
        <v>18</v>
      </c>
      <c r="B6" s="13">
        <v>0.15062500000000001</v>
      </c>
      <c r="C6" s="13">
        <v>0.16294956140350877</v>
      </c>
      <c r="D6" s="13">
        <v>0.17581140350877192</v>
      </c>
      <c r="E6" s="13">
        <v>0.4893859649122807</v>
      </c>
      <c r="F6"/>
      <c r="G6"/>
      <c r="H6"/>
      <c r="I6"/>
    </row>
    <row r="7" spans="1:9" s="13" customFormat="1">
      <c r="A7" s="13" t="s">
        <v>197</v>
      </c>
      <c r="B7" s="13">
        <v>0.31472587719298245</v>
      </c>
      <c r="C7" s="13">
        <v>0.34118421052631581</v>
      </c>
      <c r="D7" s="13">
        <v>0.34408991228070174</v>
      </c>
      <c r="E7" s="13">
        <v>1</v>
      </c>
      <c r="F7"/>
      <c r="G7"/>
      <c r="H7"/>
      <c r="I7"/>
    </row>
    <row r="12" spans="1:9">
      <c r="G12" s="13"/>
    </row>
  </sheetData>
  <conditionalFormatting pivot="1" sqref="B5:E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E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5:E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5:E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workbookViewId="0">
      <selection activeCell="P11" sqref="P11"/>
    </sheetView>
  </sheetViews>
  <sheetFormatPr defaultColWidth="11.25" defaultRowHeight="15.6"/>
  <cols>
    <col min="1" max="1" width="15.125" bestFit="1" customWidth="1"/>
    <col min="2" max="2" width="9.5" customWidth="1"/>
    <col min="3" max="3" width="14.5" bestFit="1" customWidth="1"/>
    <col min="4" max="4" width="12.875" customWidth="1"/>
    <col min="5" max="5" width="14.5" customWidth="1"/>
    <col min="6" max="6" width="10.625" bestFit="1" customWidth="1"/>
    <col min="7" max="7" width="13.25" bestFit="1" customWidth="1"/>
    <col min="8" max="8" width="9.125" bestFit="1" customWidth="1"/>
    <col min="9" max="9" width="6.125" bestFit="1" customWidth="1"/>
    <col min="10" max="10" width="18.25" customWidth="1"/>
    <col min="11" max="11" width="17.5" bestFit="1" customWidth="1"/>
    <col min="12" max="12" width="10.375" bestFit="1" customWidth="1"/>
    <col min="13" max="13" width="14.375" bestFit="1" customWidth="1"/>
    <col min="14" max="14" width="12.875" bestFit="1" customWidth="1"/>
    <col min="15" max="15" width="19.25" style="15" bestFit="1" customWidth="1"/>
    <col min="16" max="16" width="31.25" customWidth="1"/>
    <col min="17" max="17" width="18.25" customWidth="1"/>
    <col min="19" max="19" width="14.375" customWidth="1"/>
    <col min="21" max="21" width="12.875" customWidth="1"/>
    <col min="22" max="22" width="25.625" customWidth="1"/>
  </cols>
  <sheetData>
    <row r="1" spans="1:22" ht="15.7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9" t="s">
        <v>13</v>
      </c>
      <c r="N1" t="s">
        <v>14</v>
      </c>
      <c r="O1" s="15" t="s">
        <v>15</v>
      </c>
      <c r="P1" s="19" t="s">
        <v>199</v>
      </c>
    </row>
    <row r="2" spans="1:22" ht="15.75">
      <c r="A2" s="3">
        <v>14</v>
      </c>
      <c r="B2">
        <f>DAY(F2)</f>
        <v>17</v>
      </c>
      <c r="C2" t="str">
        <f>TEXT(F2, "mmmm")</f>
        <v>January</v>
      </c>
      <c r="D2" s="3">
        <f>MONTH(F2)</f>
        <v>1</v>
      </c>
      <c r="E2" s="3">
        <f>YEAR(F2)</f>
        <v>2023</v>
      </c>
      <c r="F2" s="2">
        <v>44943</v>
      </c>
      <c r="G2" s="3" t="s">
        <v>200</v>
      </c>
      <c r="H2" s="3" t="s">
        <v>18</v>
      </c>
      <c r="I2" s="3">
        <v>64</v>
      </c>
      <c r="J2" s="3"/>
      <c r="K2" s="3" t="s">
        <v>195</v>
      </c>
      <c r="L2" s="3">
        <v>4</v>
      </c>
      <c r="M2" s="4">
        <v>30</v>
      </c>
      <c r="N2">
        <f>L2 * M2</f>
        <v>120</v>
      </c>
      <c r="O2" s="15">
        <f>N2 *$R$3</f>
        <v>1.7999999999999998</v>
      </c>
      <c r="R2" t="s">
        <v>201</v>
      </c>
    </row>
    <row r="3" spans="1:22" ht="15.75">
      <c r="A3" s="3">
        <v>25</v>
      </c>
      <c r="B3">
        <f>DAY(F3)</f>
        <v>26</v>
      </c>
      <c r="C3" t="str">
        <f>TEXT(F3, "mmmm")</f>
        <v>December</v>
      </c>
      <c r="D3" s="3">
        <f>MONTH(F3)</f>
        <v>12</v>
      </c>
      <c r="E3" s="3">
        <f>YEAR(F3)</f>
        <v>2023</v>
      </c>
      <c r="F3" s="2">
        <v>45286</v>
      </c>
      <c r="G3" s="3" t="s">
        <v>202</v>
      </c>
      <c r="H3" s="3" t="s">
        <v>198</v>
      </c>
      <c r="I3" s="3">
        <v>64</v>
      </c>
      <c r="K3" s="3" t="s">
        <v>19</v>
      </c>
      <c r="L3" s="3">
        <v>1</v>
      </c>
      <c r="M3" s="4">
        <v>50</v>
      </c>
      <c r="N3">
        <f>L3 * M3</f>
        <v>50</v>
      </c>
      <c r="O3" s="15">
        <f>N3 *$R$3</f>
        <v>0.75</v>
      </c>
      <c r="Q3" t="s">
        <v>203</v>
      </c>
      <c r="R3" s="13">
        <v>1.4999999999999999E-2</v>
      </c>
    </row>
    <row r="4" spans="1:22" ht="15.75">
      <c r="A4" s="3">
        <v>80</v>
      </c>
      <c r="B4">
        <f>DAY(F4)</f>
        <v>10</v>
      </c>
      <c r="C4" t="str">
        <f>TEXT(F4, "mmmm")</f>
        <v>December</v>
      </c>
      <c r="D4" s="3">
        <f>MONTH(F4)</f>
        <v>12</v>
      </c>
      <c r="E4" s="3">
        <f>YEAR(F4)</f>
        <v>2023</v>
      </c>
      <c r="F4" s="2">
        <v>45270</v>
      </c>
      <c r="G4" s="3" t="s">
        <v>204</v>
      </c>
      <c r="H4" s="3" t="s">
        <v>198</v>
      </c>
      <c r="I4" s="3">
        <v>64</v>
      </c>
      <c r="K4" s="3" t="s">
        <v>195</v>
      </c>
      <c r="L4" s="3">
        <v>2</v>
      </c>
      <c r="M4" s="4">
        <v>30</v>
      </c>
      <c r="N4">
        <f>L4 * M4</f>
        <v>60</v>
      </c>
      <c r="O4" s="15">
        <f>N4 *$R$3</f>
        <v>0.89999999999999991</v>
      </c>
      <c r="Q4" t="s">
        <v>205</v>
      </c>
      <c r="R4" s="14">
        <v>0.02</v>
      </c>
    </row>
    <row r="5" spans="1:22" ht="15.75">
      <c r="A5" s="3">
        <v>122</v>
      </c>
      <c r="B5">
        <f>DAY(F5)</f>
        <v>3</v>
      </c>
      <c r="C5" t="str">
        <f>TEXT(F5, "mmmm")</f>
        <v>October</v>
      </c>
      <c r="D5" s="3">
        <f>MONTH(F5)</f>
        <v>10</v>
      </c>
      <c r="E5" s="3">
        <f>YEAR(F5)</f>
        <v>2023</v>
      </c>
      <c r="F5" s="2">
        <v>45202</v>
      </c>
      <c r="G5" s="3" t="s">
        <v>206</v>
      </c>
      <c r="H5" s="3" t="s">
        <v>18</v>
      </c>
      <c r="I5" s="3">
        <v>64</v>
      </c>
      <c r="J5" s="3"/>
      <c r="K5" s="3" t="s">
        <v>196</v>
      </c>
      <c r="L5" s="3">
        <v>4</v>
      </c>
      <c r="M5" s="4">
        <v>30</v>
      </c>
      <c r="N5">
        <f>L5 * M5</f>
        <v>120</v>
      </c>
      <c r="O5" s="15">
        <f>N5 *$R$3</f>
        <v>1.7999999999999998</v>
      </c>
    </row>
    <row r="6" spans="1:22" ht="15.75">
      <c r="A6" s="3">
        <v>161</v>
      </c>
      <c r="B6">
        <f>DAY(F6)</f>
        <v>22</v>
      </c>
      <c r="C6" t="str">
        <f>TEXT(F6, "mmmm")</f>
        <v>March</v>
      </c>
      <c r="D6" s="3">
        <f>MONTH(F6)</f>
        <v>3</v>
      </c>
      <c r="E6" s="3">
        <f>YEAR(F6)</f>
        <v>2023</v>
      </c>
      <c r="F6" s="2">
        <v>45007</v>
      </c>
      <c r="G6" s="3" t="s">
        <v>142</v>
      </c>
      <c r="H6" s="3" t="s">
        <v>18</v>
      </c>
      <c r="I6" s="3">
        <v>64</v>
      </c>
      <c r="J6" s="3"/>
      <c r="K6" s="3" t="s">
        <v>19</v>
      </c>
      <c r="L6" s="3">
        <v>2</v>
      </c>
      <c r="M6" s="4">
        <v>500</v>
      </c>
      <c r="N6">
        <f>L6 * M6</f>
        <v>1000</v>
      </c>
      <c r="O6" s="15">
        <f>N6 *$R$3</f>
        <v>15</v>
      </c>
    </row>
    <row r="7" spans="1:22" ht="15.75">
      <c r="A7" s="3">
        <v>163</v>
      </c>
      <c r="B7">
        <f>DAY(F7)</f>
        <v>2</v>
      </c>
      <c r="C7" t="str">
        <f>TEXT(F7, "mmmm")</f>
        <v>January</v>
      </c>
      <c r="D7" s="3">
        <f>MONTH(F7)</f>
        <v>1</v>
      </c>
      <c r="E7" s="3">
        <f>YEAR(F7)</f>
        <v>2023</v>
      </c>
      <c r="F7" s="2">
        <v>44928</v>
      </c>
      <c r="G7" s="3" t="s">
        <v>207</v>
      </c>
      <c r="H7" s="3" t="s">
        <v>198</v>
      </c>
      <c r="I7" s="3">
        <v>64</v>
      </c>
      <c r="J7" s="3"/>
      <c r="K7" s="3" t="s">
        <v>195</v>
      </c>
      <c r="L7" s="3">
        <v>3</v>
      </c>
      <c r="M7" s="4">
        <v>50</v>
      </c>
      <c r="N7">
        <f>L7 * M7</f>
        <v>150</v>
      </c>
      <c r="O7" s="15">
        <f>N7 *$R$3</f>
        <v>2.25</v>
      </c>
    </row>
    <row r="8" spans="1:22" ht="15.75">
      <c r="A8" s="3">
        <v>173</v>
      </c>
      <c r="B8">
        <f>DAY(F8)</f>
        <v>8</v>
      </c>
      <c r="C8" t="str">
        <f>TEXT(F8, "mmmm")</f>
        <v>November</v>
      </c>
      <c r="D8" s="3">
        <f>MONTH(F8)</f>
        <v>11</v>
      </c>
      <c r="E8" s="3">
        <f>YEAR(F8)</f>
        <v>2023</v>
      </c>
      <c r="F8" s="2">
        <v>45238</v>
      </c>
      <c r="G8" s="3" t="s">
        <v>208</v>
      </c>
      <c r="H8" s="3" t="s">
        <v>18</v>
      </c>
      <c r="I8" s="3">
        <v>64</v>
      </c>
      <c r="J8" s="3"/>
      <c r="K8" s="3" t="s">
        <v>196</v>
      </c>
      <c r="L8" s="3">
        <v>4</v>
      </c>
      <c r="M8" s="4">
        <v>30</v>
      </c>
      <c r="N8">
        <f>L8 * M8</f>
        <v>120</v>
      </c>
      <c r="O8" s="15">
        <f>N8 *$R$3</f>
        <v>1.7999999999999998</v>
      </c>
      <c r="R8" t="s">
        <v>209</v>
      </c>
      <c r="S8" t="s">
        <v>210</v>
      </c>
      <c r="T8" t="s">
        <v>211</v>
      </c>
      <c r="U8" t="s">
        <v>212</v>
      </c>
      <c r="V8" t="s">
        <v>213</v>
      </c>
    </row>
    <row r="9" spans="1:22" ht="15.75">
      <c r="A9" s="3">
        <v>187</v>
      </c>
      <c r="B9">
        <f>DAY(F9)</f>
        <v>7</v>
      </c>
      <c r="C9" t="str">
        <f>TEXT(F9, "mmmm")</f>
        <v>June</v>
      </c>
      <c r="D9" s="3">
        <f>MONTH(F9)</f>
        <v>6</v>
      </c>
      <c r="E9" s="3">
        <f>YEAR(F9)</f>
        <v>2023</v>
      </c>
      <c r="F9" s="2">
        <v>45084</v>
      </c>
      <c r="G9" s="3" t="s">
        <v>214</v>
      </c>
      <c r="H9" s="3" t="s">
        <v>198</v>
      </c>
      <c r="I9" s="3">
        <v>64</v>
      </c>
      <c r="J9" s="3"/>
      <c r="K9" s="3" t="s">
        <v>195</v>
      </c>
      <c r="L9" s="3">
        <v>2</v>
      </c>
      <c r="M9" s="4">
        <v>50</v>
      </c>
      <c r="N9">
        <f>L9 * M9</f>
        <v>100</v>
      </c>
      <c r="O9" s="15">
        <f>N9 *$R$3</f>
        <v>1.5</v>
      </c>
      <c r="Q9" t="s">
        <v>19</v>
      </c>
      <c r="R9">
        <f>SUMIF(K:K, "beauty", N:N)</f>
        <v>143515</v>
      </c>
      <c r="S9">
        <f>SUMIFS(L1:L999, K1:K999, "beauty", H1:H999, "female")</f>
        <v>418</v>
      </c>
      <c r="T9">
        <f>SUMIFS(L:L, K:K, "Beauty", H:H, "Male")</f>
        <v>353</v>
      </c>
      <c r="U9">
        <v>456</v>
      </c>
      <c r="V9" t="str" cm="1">
        <f t="array" ref="V9:V11">_xlfn.UNIQUE(K2:K1001)</f>
        <v>Clothing</v>
      </c>
    </row>
    <row r="10" spans="1:22" ht="15.75">
      <c r="A10" s="3">
        <v>191</v>
      </c>
      <c r="B10">
        <f>DAY(F10)</f>
        <v>18</v>
      </c>
      <c r="C10" t="str">
        <f>TEXT(F10, "mmmm")</f>
        <v>October</v>
      </c>
      <c r="D10" s="3">
        <f>MONTH(F10)</f>
        <v>10</v>
      </c>
      <c r="E10" s="3">
        <f>YEAR(F10)</f>
        <v>2023</v>
      </c>
      <c r="F10" s="2">
        <v>45217</v>
      </c>
      <c r="G10" s="3" t="s">
        <v>31</v>
      </c>
      <c r="H10" s="3" t="s">
        <v>18</v>
      </c>
      <c r="I10" s="3">
        <v>64</v>
      </c>
      <c r="J10" s="3"/>
      <c r="K10" s="3" t="s">
        <v>19</v>
      </c>
      <c r="L10" s="3">
        <v>1</v>
      </c>
      <c r="M10" s="4">
        <v>25</v>
      </c>
      <c r="N10">
        <f>L10 * M10</f>
        <v>25</v>
      </c>
      <c r="O10" s="15">
        <f>N10 *$R$3</f>
        <v>0.375</v>
      </c>
      <c r="Q10" t="s">
        <v>215</v>
      </c>
      <c r="R10">
        <f>SUMIF(K:K, "clothing", N:N)</f>
        <v>155580</v>
      </c>
      <c r="S10">
        <f>SUMIFS(L2:L1001, K2:K1001, "Clothing", H2:H1001, "Female" )</f>
        <v>441</v>
      </c>
      <c r="T10">
        <f>SUMIFS(L2:L1001, K2:K1001, "Clothing", H2:H1001, "MALE" )</f>
        <v>453</v>
      </c>
      <c r="U10">
        <f>ROUND(AVERAGEIF(K:K, "Clothing", N:N),0)</f>
        <v>443</v>
      </c>
      <c r="V10" t="str">
        <v>Beauty</v>
      </c>
    </row>
    <row r="11" spans="1:22" ht="15.75">
      <c r="A11" s="3">
        <v>218</v>
      </c>
      <c r="B11">
        <f>DAY(F11)</f>
        <v>22</v>
      </c>
      <c r="C11" t="str">
        <f>TEXT(F11, "mmmm")</f>
        <v>September</v>
      </c>
      <c r="D11" s="3">
        <f>MONTH(F11)</f>
        <v>9</v>
      </c>
      <c r="E11" s="3">
        <f>YEAR(F11)</f>
        <v>2023</v>
      </c>
      <c r="F11" s="2">
        <v>45191</v>
      </c>
      <c r="G11" s="3" t="s">
        <v>80</v>
      </c>
      <c r="H11" s="3" t="s">
        <v>18</v>
      </c>
      <c r="I11" s="3">
        <v>64</v>
      </c>
      <c r="J11" s="3"/>
      <c r="K11" s="3" t="s">
        <v>19</v>
      </c>
      <c r="L11" s="3">
        <v>3</v>
      </c>
      <c r="M11" s="4">
        <v>30</v>
      </c>
      <c r="N11">
        <f>L11 * M11</f>
        <v>90</v>
      </c>
      <c r="O11" s="15">
        <f>N11 *$R$3</f>
        <v>1.3499999999999999</v>
      </c>
      <c r="P11" t="e">
        <f>AVERAGE(P1-P9)</f>
        <v>#VALUE!</v>
      </c>
      <c r="R11">
        <f>SUMIF(K:K, "Electronics", N:N)</f>
        <v>156905</v>
      </c>
      <c r="S11">
        <f>SUMIFS(L:L, K:K, "Electronics", H:H, "Female")</f>
        <v>439</v>
      </c>
      <c r="T11">
        <f>SUMIFS(L1:L1000, K1:K1000, "Electronics", H1:H1000, "Male")</f>
        <v>410</v>
      </c>
      <c r="U11">
        <f>ROUND(AVERAGEIF(K:K, "electronics", N:N),0)</f>
        <v>459</v>
      </c>
      <c r="V11" t="str">
        <v>Electronics</v>
      </c>
    </row>
    <row r="12" spans="1:22" ht="15.75">
      <c r="A12" s="3">
        <v>220</v>
      </c>
      <c r="B12">
        <f>DAY(F12)</f>
        <v>3</v>
      </c>
      <c r="C12" t="str">
        <f>TEXT(F12, "mmmm")</f>
        <v>March</v>
      </c>
      <c r="D12" s="3">
        <f>MONTH(F12)</f>
        <v>3</v>
      </c>
      <c r="E12" s="3">
        <f>YEAR(F12)</f>
        <v>2023</v>
      </c>
      <c r="F12" s="2">
        <v>44988</v>
      </c>
      <c r="G12" s="3" t="s">
        <v>125</v>
      </c>
      <c r="H12" s="3" t="s">
        <v>18</v>
      </c>
      <c r="I12" s="3">
        <v>64</v>
      </c>
      <c r="J12" s="3"/>
      <c r="K12" s="3" t="s">
        <v>19</v>
      </c>
      <c r="L12" s="3">
        <v>1</v>
      </c>
      <c r="M12" s="4">
        <v>500</v>
      </c>
      <c r="N12">
        <f>L12 * M12</f>
        <v>500</v>
      </c>
      <c r="O12" s="15">
        <f>N12 *$R$3</f>
        <v>7.5</v>
      </c>
      <c r="Q12" t="s">
        <v>216</v>
      </c>
      <c r="R12">
        <v>456000</v>
      </c>
      <c r="S12">
        <f>SUMIF(H:H, "FEMALE", L:L)</f>
        <v>1298</v>
      </c>
      <c r="T12">
        <v>353</v>
      </c>
      <c r="U12">
        <v>466</v>
      </c>
    </row>
    <row r="13" spans="1:22" ht="15.75">
      <c r="A13" s="3">
        <v>223</v>
      </c>
      <c r="B13">
        <f>DAY(F13)</f>
        <v>2</v>
      </c>
      <c r="C13" t="str">
        <f>TEXT(F13, "mmmm")</f>
        <v>February</v>
      </c>
      <c r="D13" s="3">
        <f>MONTH(F13)</f>
        <v>2</v>
      </c>
      <c r="E13" s="3">
        <f>YEAR(F13)</f>
        <v>2023</v>
      </c>
      <c r="F13" s="2">
        <v>44959</v>
      </c>
      <c r="G13" s="3" t="s">
        <v>217</v>
      </c>
      <c r="H13" s="3" t="s">
        <v>198</v>
      </c>
      <c r="I13" s="3">
        <v>64</v>
      </c>
      <c r="J13" s="3"/>
      <c r="K13" s="3" t="s">
        <v>195</v>
      </c>
      <c r="L13" s="3">
        <v>1</v>
      </c>
      <c r="M13" s="4">
        <v>25</v>
      </c>
      <c r="N13">
        <f>L13 * M13</f>
        <v>25</v>
      </c>
      <c r="O13" s="15">
        <f>N13 *$R$3</f>
        <v>0.375</v>
      </c>
    </row>
    <row r="14" spans="1:22" ht="15.75">
      <c r="A14" s="3">
        <v>282</v>
      </c>
      <c r="B14">
        <f>DAY(F14)</f>
        <v>25</v>
      </c>
      <c r="C14" t="str">
        <f>TEXT(F14, "mmmm")</f>
        <v>August</v>
      </c>
      <c r="D14" s="3">
        <f>MONTH(F14)</f>
        <v>8</v>
      </c>
      <c r="E14" s="3">
        <f>YEAR(F14)</f>
        <v>2023</v>
      </c>
      <c r="F14" s="2">
        <v>45163</v>
      </c>
      <c r="G14" s="3" t="s">
        <v>218</v>
      </c>
      <c r="H14" s="3" t="s">
        <v>198</v>
      </c>
      <c r="I14" s="3">
        <v>64</v>
      </c>
      <c r="J14" s="3"/>
      <c r="K14" s="3" t="s">
        <v>196</v>
      </c>
      <c r="L14" s="3">
        <v>4</v>
      </c>
      <c r="M14" s="4">
        <v>50</v>
      </c>
      <c r="N14">
        <f>L14 * M14</f>
        <v>200</v>
      </c>
      <c r="O14" s="15">
        <f>N14 *$R$3</f>
        <v>3</v>
      </c>
      <c r="P14" s="15"/>
    </row>
    <row r="15" spans="1:22" ht="15.75">
      <c r="A15" s="3">
        <v>363</v>
      </c>
      <c r="B15">
        <f>DAY(F15)</f>
        <v>3</v>
      </c>
      <c r="C15" t="str">
        <f>TEXT(F15, "mmmm")</f>
        <v>June</v>
      </c>
      <c r="D15" s="3">
        <f>MONTH(F15)</f>
        <v>6</v>
      </c>
      <c r="E15" s="3">
        <f>YEAR(F15)</f>
        <v>2023</v>
      </c>
      <c r="F15" s="2">
        <v>45080</v>
      </c>
      <c r="G15" s="3" t="s">
        <v>27</v>
      </c>
      <c r="H15" s="3" t="s">
        <v>18</v>
      </c>
      <c r="I15" s="3">
        <v>64</v>
      </c>
      <c r="J15" s="3"/>
      <c r="K15" s="3" t="s">
        <v>19</v>
      </c>
      <c r="L15" s="3">
        <v>1</v>
      </c>
      <c r="M15" s="4">
        <v>25</v>
      </c>
      <c r="N15">
        <f>L15 * M15</f>
        <v>25</v>
      </c>
      <c r="O15" s="15">
        <f>N15 *$R$3</f>
        <v>0.375</v>
      </c>
    </row>
    <row r="16" spans="1:22" ht="15.75">
      <c r="A16" s="3">
        <v>376</v>
      </c>
      <c r="B16">
        <f>DAY(F16)</f>
        <v>16</v>
      </c>
      <c r="C16" t="str">
        <f>TEXT(F16, "mmmm")</f>
        <v>May</v>
      </c>
      <c r="D16" s="3">
        <f>MONTH(F16)</f>
        <v>5</v>
      </c>
      <c r="E16" s="3">
        <f>YEAR(F16)</f>
        <v>2023</v>
      </c>
      <c r="F16" s="2">
        <v>45062</v>
      </c>
      <c r="G16" s="3" t="s">
        <v>219</v>
      </c>
      <c r="H16" s="3" t="s">
        <v>198</v>
      </c>
      <c r="I16" s="3">
        <v>64</v>
      </c>
      <c r="J16" s="3"/>
      <c r="K16" s="3" t="s">
        <v>19</v>
      </c>
      <c r="L16" s="3">
        <v>1</v>
      </c>
      <c r="M16" s="4">
        <v>30</v>
      </c>
      <c r="N16">
        <f>L16 * M16</f>
        <v>30</v>
      </c>
      <c r="O16" s="15">
        <f>N16 *$R$3</f>
        <v>0.44999999999999996</v>
      </c>
    </row>
    <row r="17" spans="1:15" ht="15.75">
      <c r="A17" s="3">
        <v>399</v>
      </c>
      <c r="B17">
        <f>DAY(F17)</f>
        <v>1</v>
      </c>
      <c r="C17" t="str">
        <f>TEXT(F17, "mmmm")</f>
        <v>March</v>
      </c>
      <c r="D17" s="3">
        <f>MONTH(F17)</f>
        <v>3</v>
      </c>
      <c r="E17" s="3">
        <f>YEAR(F17)</f>
        <v>2023</v>
      </c>
      <c r="F17" s="2">
        <v>44986</v>
      </c>
      <c r="G17" s="3" t="s">
        <v>220</v>
      </c>
      <c r="H17" s="3" t="s">
        <v>198</v>
      </c>
      <c r="I17" s="3">
        <v>64</v>
      </c>
      <c r="J17" s="3"/>
      <c r="K17" s="3" t="s">
        <v>19</v>
      </c>
      <c r="L17" s="3">
        <v>2</v>
      </c>
      <c r="M17" s="4">
        <v>30</v>
      </c>
      <c r="N17">
        <f>L17 * M17</f>
        <v>60</v>
      </c>
      <c r="O17" s="15">
        <f>N17 *$R$3</f>
        <v>0.89999999999999991</v>
      </c>
    </row>
    <row r="18" spans="1:15" ht="15.75">
      <c r="A18" s="3">
        <v>408</v>
      </c>
      <c r="B18">
        <f>DAY(F18)</f>
        <v>15</v>
      </c>
      <c r="C18" t="str">
        <f>TEXT(F18, "mmmm")</f>
        <v>April</v>
      </c>
      <c r="D18" s="3">
        <f>MONTH(F18)</f>
        <v>4</v>
      </c>
      <c r="E18" s="3">
        <f>YEAR(F18)</f>
        <v>2023</v>
      </c>
      <c r="F18" s="2">
        <v>45031</v>
      </c>
      <c r="G18" s="3" t="s">
        <v>221</v>
      </c>
      <c r="H18" s="3" t="s">
        <v>198</v>
      </c>
      <c r="I18" s="3">
        <v>64</v>
      </c>
      <c r="J18" s="3"/>
      <c r="K18" s="3" t="s">
        <v>19</v>
      </c>
      <c r="L18" s="3">
        <v>1</v>
      </c>
      <c r="M18" s="4">
        <v>500</v>
      </c>
      <c r="N18">
        <f>L18 * M18</f>
        <v>500</v>
      </c>
      <c r="O18" s="15">
        <f>N18 *$R$3</f>
        <v>7.5</v>
      </c>
    </row>
    <row r="19" spans="1:15" ht="15.75">
      <c r="A19" s="3">
        <v>429</v>
      </c>
      <c r="B19">
        <f>DAY(F19)</f>
        <v>28</v>
      </c>
      <c r="C19" t="str">
        <f>TEXT(F19, "mmmm")</f>
        <v>December</v>
      </c>
      <c r="D19" s="3">
        <f>MONTH(F19)</f>
        <v>12</v>
      </c>
      <c r="E19" s="3">
        <f>YEAR(F19)</f>
        <v>2023</v>
      </c>
      <c r="F19" s="2">
        <v>45288</v>
      </c>
      <c r="G19" s="3" t="s">
        <v>222</v>
      </c>
      <c r="H19" s="3" t="s">
        <v>18</v>
      </c>
      <c r="I19" s="3">
        <v>64</v>
      </c>
      <c r="J19" s="3"/>
      <c r="K19" s="3" t="s">
        <v>196</v>
      </c>
      <c r="L19" s="3">
        <v>2</v>
      </c>
      <c r="M19" s="4">
        <v>25</v>
      </c>
      <c r="N19">
        <f>L19 * M19</f>
        <v>50</v>
      </c>
      <c r="O19" s="15">
        <f>N19 *$R$3</f>
        <v>0.75</v>
      </c>
    </row>
    <row r="20" spans="1:15" ht="15.75">
      <c r="A20" s="3">
        <v>440</v>
      </c>
      <c r="B20">
        <f>DAY(F20)</f>
        <v>26</v>
      </c>
      <c r="C20" t="str">
        <f>TEXT(F20, "mmmm")</f>
        <v>October</v>
      </c>
      <c r="D20" s="3">
        <f>MONTH(F20)</f>
        <v>10</v>
      </c>
      <c r="E20" s="3">
        <f>YEAR(F20)</f>
        <v>2023</v>
      </c>
      <c r="F20" s="2">
        <v>45225</v>
      </c>
      <c r="G20" s="3" t="s">
        <v>223</v>
      </c>
      <c r="H20" s="3" t="s">
        <v>18</v>
      </c>
      <c r="I20" s="3">
        <v>64</v>
      </c>
      <c r="J20" s="3"/>
      <c r="K20" s="3" t="s">
        <v>195</v>
      </c>
      <c r="L20" s="3">
        <v>2</v>
      </c>
      <c r="M20" s="4">
        <v>300</v>
      </c>
      <c r="N20">
        <f>L20 * M20</f>
        <v>600</v>
      </c>
      <c r="O20" s="15">
        <f>N20 *$R$3</f>
        <v>9</v>
      </c>
    </row>
    <row r="21" spans="1:15" ht="15.75">
      <c r="A21" s="3">
        <v>473</v>
      </c>
      <c r="B21">
        <f>DAY(F21)</f>
        <v>25</v>
      </c>
      <c r="C21" t="str">
        <f>TEXT(F21, "mmmm")</f>
        <v>February</v>
      </c>
      <c r="D21" s="3">
        <f>MONTH(F21)</f>
        <v>2</v>
      </c>
      <c r="E21" s="3">
        <f>YEAR(F21)</f>
        <v>2023</v>
      </c>
      <c r="F21" s="2">
        <v>44982</v>
      </c>
      <c r="G21" s="3" t="s">
        <v>49</v>
      </c>
      <c r="H21" s="3" t="s">
        <v>18</v>
      </c>
      <c r="I21" s="3">
        <v>64</v>
      </c>
      <c r="J21" s="3"/>
      <c r="K21" s="3" t="s">
        <v>19</v>
      </c>
      <c r="L21" s="3">
        <v>1</v>
      </c>
      <c r="M21" s="4">
        <v>50</v>
      </c>
      <c r="N21">
        <f>L21 * M21</f>
        <v>50</v>
      </c>
      <c r="O21" s="15">
        <f>N21 *$R$3</f>
        <v>0.75</v>
      </c>
    </row>
    <row r="22" spans="1:15" ht="15.75">
      <c r="A22" s="3">
        <v>532</v>
      </c>
      <c r="B22">
        <f>DAY(F22)</f>
        <v>19</v>
      </c>
      <c r="C22" t="str">
        <f>TEXT(F22, "mmmm")</f>
        <v>June</v>
      </c>
      <c r="D22" s="3">
        <f>MONTH(F22)</f>
        <v>6</v>
      </c>
      <c r="E22" s="3">
        <f>YEAR(F22)</f>
        <v>2023</v>
      </c>
      <c r="F22" s="2">
        <v>45096</v>
      </c>
      <c r="G22" s="3" t="s">
        <v>224</v>
      </c>
      <c r="H22" s="3" t="s">
        <v>198</v>
      </c>
      <c r="I22" s="3">
        <v>64</v>
      </c>
      <c r="J22" s="3"/>
      <c r="K22" s="3" t="s">
        <v>195</v>
      </c>
      <c r="L22" s="3">
        <v>4</v>
      </c>
      <c r="M22" s="4">
        <v>30</v>
      </c>
      <c r="N22">
        <f>L22 * M22</f>
        <v>120</v>
      </c>
      <c r="O22" s="15">
        <f>N22 *$R$3</f>
        <v>1.7999999999999998</v>
      </c>
    </row>
    <row r="23" spans="1:15" ht="15.75">
      <c r="A23" s="3">
        <v>561</v>
      </c>
      <c r="B23">
        <f>DAY(F23)</f>
        <v>27</v>
      </c>
      <c r="C23" t="str">
        <f>TEXT(F23, "mmmm")</f>
        <v>May</v>
      </c>
      <c r="D23" s="3">
        <f>MONTH(F23)</f>
        <v>5</v>
      </c>
      <c r="E23" s="3">
        <f>YEAR(F23)</f>
        <v>2023</v>
      </c>
      <c r="F23" s="2">
        <v>45073</v>
      </c>
      <c r="G23" s="3" t="s">
        <v>225</v>
      </c>
      <c r="H23" s="3" t="s">
        <v>198</v>
      </c>
      <c r="I23" s="3">
        <v>64</v>
      </c>
      <c r="J23" s="3"/>
      <c r="K23" s="3" t="s">
        <v>195</v>
      </c>
      <c r="L23" s="3">
        <v>4</v>
      </c>
      <c r="M23" s="4">
        <v>500</v>
      </c>
      <c r="N23">
        <f>L23 * M23</f>
        <v>2000</v>
      </c>
      <c r="O23" s="15">
        <f>N23 *$R$3</f>
        <v>30</v>
      </c>
    </row>
    <row r="24" spans="1:15" ht="15.75">
      <c r="A24" s="3">
        <v>566</v>
      </c>
      <c r="B24">
        <f>DAY(F24)</f>
        <v>2</v>
      </c>
      <c r="C24" t="str">
        <f>TEXT(F24, "mmmm")</f>
        <v>December</v>
      </c>
      <c r="D24" s="3">
        <f>MONTH(F24)</f>
        <v>12</v>
      </c>
      <c r="E24" s="3">
        <f>YEAR(F24)</f>
        <v>2023</v>
      </c>
      <c r="F24" s="2">
        <v>45262</v>
      </c>
      <c r="G24" s="3" t="s">
        <v>226</v>
      </c>
      <c r="H24" s="3" t="s">
        <v>198</v>
      </c>
      <c r="I24" s="3">
        <v>64</v>
      </c>
      <c r="J24" s="3"/>
      <c r="K24" s="3" t="s">
        <v>195</v>
      </c>
      <c r="L24" s="3">
        <v>1</v>
      </c>
      <c r="M24" s="4">
        <v>30</v>
      </c>
      <c r="N24">
        <f>L24 * M24</f>
        <v>30</v>
      </c>
      <c r="O24" s="15">
        <f>N24 *$R$3</f>
        <v>0.44999999999999996</v>
      </c>
    </row>
    <row r="25" spans="1:15" ht="15.75">
      <c r="A25" s="3">
        <v>596</v>
      </c>
      <c r="B25">
        <f>DAY(F25)</f>
        <v>7</v>
      </c>
      <c r="C25" t="str">
        <f>TEXT(F25, "mmmm")</f>
        <v>February</v>
      </c>
      <c r="D25" s="3">
        <f>MONTH(F25)</f>
        <v>2</v>
      </c>
      <c r="E25" s="3">
        <f>YEAR(F25)</f>
        <v>2023</v>
      </c>
      <c r="F25" s="2">
        <v>44964</v>
      </c>
      <c r="G25" s="3" t="s">
        <v>227</v>
      </c>
      <c r="H25" s="3" t="s">
        <v>198</v>
      </c>
      <c r="I25" s="3">
        <v>64</v>
      </c>
      <c r="J25" s="3"/>
      <c r="K25" s="3" t="s">
        <v>196</v>
      </c>
      <c r="L25" s="3">
        <v>1</v>
      </c>
      <c r="M25" s="4">
        <v>300</v>
      </c>
      <c r="N25">
        <f>L25 * M25</f>
        <v>300</v>
      </c>
      <c r="O25" s="15">
        <f>N25 *$R$3</f>
        <v>4.5</v>
      </c>
    </row>
    <row r="26" spans="1:15" ht="15.75">
      <c r="A26" s="3">
        <v>692</v>
      </c>
      <c r="B26">
        <f>DAY(F26)</f>
        <v>7</v>
      </c>
      <c r="C26" t="str">
        <f>TEXT(F26, "mmmm")</f>
        <v>September</v>
      </c>
      <c r="D26" s="3">
        <f>MONTH(F26)</f>
        <v>9</v>
      </c>
      <c r="E26" s="3">
        <f>YEAR(F26)</f>
        <v>2023</v>
      </c>
      <c r="F26" s="2">
        <v>45176</v>
      </c>
      <c r="G26" s="3" t="s">
        <v>228</v>
      </c>
      <c r="H26" s="3" t="s">
        <v>198</v>
      </c>
      <c r="I26" s="3">
        <v>64</v>
      </c>
      <c r="J26" s="3"/>
      <c r="K26" s="3" t="s">
        <v>195</v>
      </c>
      <c r="L26" s="3">
        <v>2</v>
      </c>
      <c r="M26" s="4">
        <v>50</v>
      </c>
      <c r="N26">
        <f>L26 * M26</f>
        <v>100</v>
      </c>
      <c r="O26" s="15">
        <f>N26 *$R$3</f>
        <v>1.5</v>
      </c>
    </row>
    <row r="27" spans="1:15" ht="15.75">
      <c r="A27" s="3">
        <v>698</v>
      </c>
      <c r="B27">
        <f>DAY(F27)</f>
        <v>19</v>
      </c>
      <c r="C27" t="str">
        <f>TEXT(F27, "mmmm")</f>
        <v>July</v>
      </c>
      <c r="D27" s="3">
        <f>MONTH(F27)</f>
        <v>7</v>
      </c>
      <c r="E27" s="3">
        <f>YEAR(F27)</f>
        <v>2023</v>
      </c>
      <c r="F27" s="2">
        <v>45126</v>
      </c>
      <c r="G27" s="3" t="s">
        <v>229</v>
      </c>
      <c r="H27" s="3" t="s">
        <v>198</v>
      </c>
      <c r="I27" s="3">
        <v>64</v>
      </c>
      <c r="J27" s="3"/>
      <c r="K27" s="3" t="s">
        <v>196</v>
      </c>
      <c r="L27" s="3">
        <v>1</v>
      </c>
      <c r="M27" s="4">
        <v>300</v>
      </c>
      <c r="N27">
        <f>L27 * M27</f>
        <v>300</v>
      </c>
      <c r="O27" s="15">
        <f>N27 *$R$3</f>
        <v>4.5</v>
      </c>
    </row>
    <row r="28" spans="1:15" ht="15.75">
      <c r="A28" s="3">
        <v>735</v>
      </c>
      <c r="B28">
        <f>DAY(F28)</f>
        <v>4</v>
      </c>
      <c r="C28" t="str">
        <f>TEXT(F28, "mmmm")</f>
        <v>October</v>
      </c>
      <c r="D28" s="3">
        <f>MONTH(F28)</f>
        <v>10</v>
      </c>
      <c r="E28" s="3">
        <f>YEAR(F28)</f>
        <v>2023</v>
      </c>
      <c r="F28" s="2">
        <v>45203</v>
      </c>
      <c r="G28" s="3" t="s">
        <v>230</v>
      </c>
      <c r="H28" s="3" t="s">
        <v>198</v>
      </c>
      <c r="I28" s="3">
        <v>64</v>
      </c>
      <c r="J28" s="3"/>
      <c r="K28" s="3" t="s">
        <v>195</v>
      </c>
      <c r="L28" s="3">
        <v>4</v>
      </c>
      <c r="M28" s="4">
        <v>500</v>
      </c>
      <c r="N28">
        <f>L28 * M28</f>
        <v>2000</v>
      </c>
      <c r="O28" s="15">
        <f>N28 *$R$3</f>
        <v>30</v>
      </c>
    </row>
    <row r="29" spans="1:15" ht="15.75">
      <c r="A29" s="3">
        <v>758</v>
      </c>
      <c r="B29">
        <f>DAY(F29)</f>
        <v>12</v>
      </c>
      <c r="C29" t="str">
        <f>TEXT(F29, "mmmm")</f>
        <v>May</v>
      </c>
      <c r="D29" s="3">
        <f>MONTH(F29)</f>
        <v>5</v>
      </c>
      <c r="E29" s="3">
        <f>YEAR(F29)</f>
        <v>2023</v>
      </c>
      <c r="F29" s="2">
        <v>45058</v>
      </c>
      <c r="G29" s="3" t="s">
        <v>231</v>
      </c>
      <c r="H29" s="3" t="s">
        <v>18</v>
      </c>
      <c r="I29" s="3">
        <v>64</v>
      </c>
      <c r="J29" s="3"/>
      <c r="K29" s="3" t="s">
        <v>195</v>
      </c>
      <c r="L29" s="3">
        <v>4</v>
      </c>
      <c r="M29" s="4">
        <v>25</v>
      </c>
      <c r="N29">
        <f>L29 * M29</f>
        <v>100</v>
      </c>
      <c r="O29" s="15">
        <f>N29 *$R$3</f>
        <v>1.5</v>
      </c>
    </row>
    <row r="30" spans="1:15" ht="15.75">
      <c r="A30" s="3">
        <v>830</v>
      </c>
      <c r="B30">
        <f>DAY(F30)</f>
        <v>22</v>
      </c>
      <c r="C30" t="str">
        <f>TEXT(F30, "mmmm")</f>
        <v>June</v>
      </c>
      <c r="D30" s="3">
        <f>MONTH(F30)</f>
        <v>6</v>
      </c>
      <c r="E30" s="3">
        <f>YEAR(F30)</f>
        <v>2023</v>
      </c>
      <c r="F30" s="2">
        <v>45099</v>
      </c>
      <c r="G30" s="3" t="s">
        <v>232</v>
      </c>
      <c r="H30" s="3" t="s">
        <v>198</v>
      </c>
      <c r="I30" s="3">
        <v>64</v>
      </c>
      <c r="J30" s="3"/>
      <c r="K30" s="3" t="s">
        <v>195</v>
      </c>
      <c r="L30" s="3">
        <v>3</v>
      </c>
      <c r="M30" s="4">
        <v>50</v>
      </c>
      <c r="N30">
        <f>L30 * M30</f>
        <v>150</v>
      </c>
      <c r="O30" s="15">
        <f>N30 *$R$3</f>
        <v>2.25</v>
      </c>
    </row>
    <row r="31" spans="1:15" ht="15.75">
      <c r="A31" s="3">
        <v>882</v>
      </c>
      <c r="B31">
        <f>DAY(F31)</f>
        <v>6</v>
      </c>
      <c r="C31" t="str">
        <f>TEXT(F31, "mmmm")</f>
        <v>June</v>
      </c>
      <c r="D31" s="3">
        <f>MONTH(F31)</f>
        <v>6</v>
      </c>
      <c r="E31" s="3">
        <f>YEAR(F31)</f>
        <v>2023</v>
      </c>
      <c r="F31" s="2">
        <v>45083</v>
      </c>
      <c r="G31" s="3" t="s">
        <v>233</v>
      </c>
      <c r="H31" s="3" t="s">
        <v>198</v>
      </c>
      <c r="I31" s="3">
        <v>64</v>
      </c>
      <c r="J31" s="3"/>
      <c r="K31" s="3" t="s">
        <v>196</v>
      </c>
      <c r="L31" s="3">
        <v>2</v>
      </c>
      <c r="M31" s="4">
        <v>25</v>
      </c>
      <c r="N31">
        <f>L31 * M31</f>
        <v>50</v>
      </c>
      <c r="O31" s="15">
        <f>N31 *$R$3</f>
        <v>0.75</v>
      </c>
    </row>
    <row r="32" spans="1:15" ht="15.75">
      <c r="A32" s="3">
        <v>897</v>
      </c>
      <c r="B32">
        <f>DAY(F32)</f>
        <v>26</v>
      </c>
      <c r="C32" t="str">
        <f>TEXT(F32, "mmmm")</f>
        <v>September</v>
      </c>
      <c r="D32" s="3">
        <f>MONTH(F32)</f>
        <v>9</v>
      </c>
      <c r="E32" s="3">
        <f>YEAR(F32)</f>
        <v>2023</v>
      </c>
      <c r="F32" s="2">
        <v>45195</v>
      </c>
      <c r="G32" s="3" t="s">
        <v>234</v>
      </c>
      <c r="H32" s="3" t="s">
        <v>198</v>
      </c>
      <c r="I32" s="3">
        <v>64</v>
      </c>
      <c r="J32" s="3"/>
      <c r="K32" s="3" t="s">
        <v>196</v>
      </c>
      <c r="L32" s="3">
        <v>2</v>
      </c>
      <c r="M32" s="4">
        <v>50</v>
      </c>
      <c r="N32">
        <f>L32 * M32</f>
        <v>100</v>
      </c>
      <c r="O32" s="15">
        <f>N32 *$R$3</f>
        <v>1.5</v>
      </c>
    </row>
    <row r="33" spans="1:15" ht="15.75">
      <c r="A33" s="3">
        <v>9</v>
      </c>
      <c r="B33">
        <f>DAY(F33)</f>
        <v>13</v>
      </c>
      <c r="C33" t="str">
        <f>TEXT(F33, "mmmm")</f>
        <v>December</v>
      </c>
      <c r="D33" s="3">
        <f>MONTH(F33)</f>
        <v>12</v>
      </c>
      <c r="E33" s="3">
        <f>YEAR(F33)</f>
        <v>2023</v>
      </c>
      <c r="F33" s="2">
        <v>45273</v>
      </c>
      <c r="G33" s="3" t="s">
        <v>235</v>
      </c>
      <c r="H33" s="3" t="s">
        <v>18</v>
      </c>
      <c r="I33" s="3">
        <v>63</v>
      </c>
      <c r="J33" s="3"/>
      <c r="K33" s="3" t="s">
        <v>196</v>
      </c>
      <c r="L33" s="3">
        <v>2</v>
      </c>
      <c r="M33" s="4">
        <v>300</v>
      </c>
      <c r="N33">
        <f>L33 * M33</f>
        <v>600</v>
      </c>
      <c r="O33" s="15">
        <f>N33 *$R$3</f>
        <v>9</v>
      </c>
    </row>
    <row r="34" spans="1:15" ht="15.75">
      <c r="A34" s="3">
        <v>57</v>
      </c>
      <c r="B34">
        <f>DAY(F34)</f>
        <v>18</v>
      </c>
      <c r="C34" t="str">
        <f>TEXT(F34, "mmmm")</f>
        <v>November</v>
      </c>
      <c r="D34" s="3">
        <f>MONTH(F34)</f>
        <v>11</v>
      </c>
      <c r="E34" s="3">
        <f>YEAR(F34)</f>
        <v>2023</v>
      </c>
      <c r="F34" s="2">
        <v>45248</v>
      </c>
      <c r="G34" s="3" t="s">
        <v>236</v>
      </c>
      <c r="H34" s="3" t="s">
        <v>198</v>
      </c>
      <c r="I34" s="3">
        <v>63</v>
      </c>
      <c r="J34" s="3"/>
      <c r="K34" s="3" t="s">
        <v>19</v>
      </c>
      <c r="L34" s="3">
        <v>1</v>
      </c>
      <c r="M34" s="4">
        <v>30</v>
      </c>
      <c r="N34">
        <f>L34 * M34</f>
        <v>30</v>
      </c>
      <c r="O34" s="15">
        <f>N34 *$R$3</f>
        <v>0.44999999999999996</v>
      </c>
    </row>
    <row r="35" spans="1:15" ht="15.75">
      <c r="A35" s="3">
        <v>153</v>
      </c>
      <c r="B35">
        <f>DAY(F35)</f>
        <v>16</v>
      </c>
      <c r="C35" t="str">
        <f>TEXT(F35, "mmmm")</f>
        <v>December</v>
      </c>
      <c r="D35" s="3">
        <f>MONTH(F35)</f>
        <v>12</v>
      </c>
      <c r="E35" s="3">
        <f>YEAR(F35)</f>
        <v>2023</v>
      </c>
      <c r="F35" s="2">
        <v>45276</v>
      </c>
      <c r="G35" s="3" t="s">
        <v>237</v>
      </c>
      <c r="H35" s="3" t="s">
        <v>18</v>
      </c>
      <c r="I35" s="3">
        <v>63</v>
      </c>
      <c r="J35" s="3"/>
      <c r="K35" s="3" t="s">
        <v>196</v>
      </c>
      <c r="L35" s="3">
        <v>2</v>
      </c>
      <c r="M35" s="4">
        <v>500</v>
      </c>
      <c r="N35">
        <f>L35 * M35</f>
        <v>1000</v>
      </c>
      <c r="O35" s="15">
        <f>N35 *$R$3</f>
        <v>15</v>
      </c>
    </row>
    <row r="36" spans="1:15" ht="15.75">
      <c r="A36" s="3">
        <v>189</v>
      </c>
      <c r="B36">
        <f>DAY(F36)</f>
        <v>30</v>
      </c>
      <c r="C36" t="str">
        <f>TEXT(F36, "mmmm")</f>
        <v>January</v>
      </c>
      <c r="D36" s="3">
        <f>MONTH(F36)</f>
        <v>1</v>
      </c>
      <c r="E36" s="3">
        <f>YEAR(F36)</f>
        <v>2023</v>
      </c>
      <c r="F36" s="2">
        <v>44956</v>
      </c>
      <c r="G36" s="3" t="s">
        <v>53</v>
      </c>
      <c r="H36" s="3" t="s">
        <v>18</v>
      </c>
      <c r="I36" s="3">
        <v>63</v>
      </c>
      <c r="J36" s="3"/>
      <c r="K36" s="3" t="s">
        <v>19</v>
      </c>
      <c r="L36" s="3">
        <v>1</v>
      </c>
      <c r="M36" s="4">
        <v>50</v>
      </c>
      <c r="N36">
        <f>L36 * M36</f>
        <v>50</v>
      </c>
      <c r="O36" s="15">
        <f>N36 *$R$3</f>
        <v>0.75</v>
      </c>
    </row>
    <row r="37" spans="1:15" ht="15.75">
      <c r="A37" s="3">
        <v>431</v>
      </c>
      <c r="B37">
        <f>DAY(F37)</f>
        <v>15</v>
      </c>
      <c r="C37" t="str">
        <f>TEXT(F37, "mmmm")</f>
        <v>October</v>
      </c>
      <c r="D37" s="3">
        <f>MONTH(F37)</f>
        <v>10</v>
      </c>
      <c r="E37" s="3">
        <f>YEAR(F37)</f>
        <v>2023</v>
      </c>
      <c r="F37" s="2">
        <v>45214</v>
      </c>
      <c r="G37" s="3" t="s">
        <v>238</v>
      </c>
      <c r="H37" s="3" t="s">
        <v>18</v>
      </c>
      <c r="I37" s="3">
        <v>63</v>
      </c>
      <c r="J37" s="3"/>
      <c r="K37" s="3" t="s">
        <v>196</v>
      </c>
      <c r="L37" s="3">
        <v>4</v>
      </c>
      <c r="M37" s="4">
        <v>300</v>
      </c>
      <c r="N37">
        <f>L37 * M37</f>
        <v>1200</v>
      </c>
      <c r="O37" s="15">
        <f>N37 *$R$3</f>
        <v>18</v>
      </c>
    </row>
    <row r="38" spans="1:15" ht="15.75">
      <c r="A38" s="3">
        <v>462</v>
      </c>
      <c r="B38">
        <f>DAY(F38)</f>
        <v>1</v>
      </c>
      <c r="C38" t="str">
        <f>TEXT(F38, "mmmm")</f>
        <v>April</v>
      </c>
      <c r="D38" s="3">
        <f>MONTH(F38)</f>
        <v>4</v>
      </c>
      <c r="E38" s="3">
        <f>YEAR(F38)</f>
        <v>2023</v>
      </c>
      <c r="F38" s="2">
        <v>45017</v>
      </c>
      <c r="G38" s="3" t="s">
        <v>239</v>
      </c>
      <c r="H38" s="3" t="s">
        <v>18</v>
      </c>
      <c r="I38" s="3">
        <v>63</v>
      </c>
      <c r="J38" s="3"/>
      <c r="K38" s="3" t="s">
        <v>196</v>
      </c>
      <c r="L38" s="3">
        <v>4</v>
      </c>
      <c r="M38" s="4">
        <v>300</v>
      </c>
      <c r="N38">
        <f>L38 * M38</f>
        <v>1200</v>
      </c>
      <c r="O38" s="15">
        <f>N38 *$R$3</f>
        <v>18</v>
      </c>
    </row>
    <row r="39" spans="1:15" ht="15.75">
      <c r="A39" s="3">
        <v>466</v>
      </c>
      <c r="B39">
        <f>DAY(F39)</f>
        <v>20</v>
      </c>
      <c r="C39" t="str">
        <f>TEXT(F39, "mmmm")</f>
        <v>June</v>
      </c>
      <c r="D39" s="3">
        <f>MONTH(F39)</f>
        <v>6</v>
      </c>
      <c r="E39" s="3">
        <f>YEAR(F39)</f>
        <v>2023</v>
      </c>
      <c r="F39" s="2">
        <v>45097</v>
      </c>
      <c r="G39" s="3" t="s">
        <v>240</v>
      </c>
      <c r="H39" s="3" t="s">
        <v>18</v>
      </c>
      <c r="I39" s="3">
        <v>63</v>
      </c>
      <c r="J39" s="3"/>
      <c r="K39" s="3" t="s">
        <v>196</v>
      </c>
      <c r="L39" s="3">
        <v>4</v>
      </c>
      <c r="M39" s="4">
        <v>25</v>
      </c>
      <c r="N39">
        <f>L39 * M39</f>
        <v>100</v>
      </c>
      <c r="O39" s="15">
        <f>N39 *$R$3</f>
        <v>1.5</v>
      </c>
    </row>
    <row r="40" spans="1:15" ht="15.75">
      <c r="A40" s="3">
        <v>547</v>
      </c>
      <c r="B40">
        <f>DAY(F40)</f>
        <v>7</v>
      </c>
      <c r="C40" t="str">
        <f>TEXT(F40, "mmmm")</f>
        <v>March</v>
      </c>
      <c r="D40" s="3">
        <f>MONTH(F40)</f>
        <v>3</v>
      </c>
      <c r="E40" s="3">
        <f>YEAR(F40)</f>
        <v>2023</v>
      </c>
      <c r="F40" s="2">
        <v>44992</v>
      </c>
      <c r="G40" s="3" t="s">
        <v>241</v>
      </c>
      <c r="H40" s="3" t="s">
        <v>18</v>
      </c>
      <c r="I40" s="3">
        <v>63</v>
      </c>
      <c r="J40" s="3"/>
      <c r="K40" s="3" t="s">
        <v>195</v>
      </c>
      <c r="L40" s="3">
        <v>4</v>
      </c>
      <c r="M40" s="4">
        <v>500</v>
      </c>
      <c r="N40">
        <f>L40 * M40</f>
        <v>2000</v>
      </c>
      <c r="O40" s="15">
        <f>N40 *$R$3</f>
        <v>30</v>
      </c>
    </row>
    <row r="41" spans="1:15" ht="15.75">
      <c r="A41" s="3">
        <v>574</v>
      </c>
      <c r="B41">
        <f>DAY(F41)</f>
        <v>31</v>
      </c>
      <c r="C41" t="str">
        <f>TEXT(F41, "mmmm")</f>
        <v>August</v>
      </c>
      <c r="D41" s="3">
        <f>MONTH(F41)</f>
        <v>8</v>
      </c>
      <c r="E41" s="3">
        <f>YEAR(F41)</f>
        <v>2023</v>
      </c>
      <c r="F41" s="2">
        <v>45169</v>
      </c>
      <c r="G41" s="3" t="s">
        <v>242</v>
      </c>
      <c r="H41" s="3" t="s">
        <v>198</v>
      </c>
      <c r="I41" s="3">
        <v>63</v>
      </c>
      <c r="J41" s="3"/>
      <c r="K41" s="3" t="s">
        <v>196</v>
      </c>
      <c r="L41" s="3">
        <v>2</v>
      </c>
      <c r="M41" s="4">
        <v>25</v>
      </c>
      <c r="N41">
        <f>L41 * M41</f>
        <v>50</v>
      </c>
      <c r="O41" s="15">
        <f>N41 *$R$3</f>
        <v>0.75</v>
      </c>
    </row>
    <row r="42" spans="1:15" ht="15.75">
      <c r="A42" s="3">
        <v>620</v>
      </c>
      <c r="B42">
        <f>DAY(F42)</f>
        <v>8</v>
      </c>
      <c r="C42" t="str">
        <f>TEXT(F42, "mmmm")</f>
        <v>May</v>
      </c>
      <c r="D42" s="3">
        <f>MONTH(F42)</f>
        <v>5</v>
      </c>
      <c r="E42" s="3">
        <f>YEAR(F42)</f>
        <v>2023</v>
      </c>
      <c r="F42" s="2">
        <v>45054</v>
      </c>
      <c r="G42" s="3" t="s">
        <v>243</v>
      </c>
      <c r="H42" s="3" t="s">
        <v>18</v>
      </c>
      <c r="I42" s="3">
        <v>63</v>
      </c>
      <c r="J42" s="3"/>
      <c r="K42" s="3" t="s">
        <v>196</v>
      </c>
      <c r="L42" s="3">
        <v>3</v>
      </c>
      <c r="M42" s="4">
        <v>25</v>
      </c>
      <c r="N42">
        <f>L42 * M42</f>
        <v>75</v>
      </c>
      <c r="O42" s="15">
        <f>N42 *$R$3</f>
        <v>1.125</v>
      </c>
    </row>
    <row r="43" spans="1:15" ht="15.75">
      <c r="A43" s="3">
        <v>635</v>
      </c>
      <c r="B43">
        <f>DAY(F43)</f>
        <v>17</v>
      </c>
      <c r="C43" t="str">
        <f>TEXT(F43, "mmmm")</f>
        <v>August</v>
      </c>
      <c r="D43" s="3">
        <f>MONTH(F43)</f>
        <v>8</v>
      </c>
      <c r="E43" s="3">
        <f>YEAR(F43)</f>
        <v>2023</v>
      </c>
      <c r="F43" s="2">
        <v>45155</v>
      </c>
      <c r="G43" s="3" t="s">
        <v>244</v>
      </c>
      <c r="H43" s="3" t="s">
        <v>198</v>
      </c>
      <c r="I43" s="3">
        <v>63</v>
      </c>
      <c r="J43" s="3"/>
      <c r="K43" s="3" t="s">
        <v>196</v>
      </c>
      <c r="L43" s="3">
        <v>3</v>
      </c>
      <c r="M43" s="4">
        <v>300</v>
      </c>
      <c r="N43">
        <f>L43 * M43</f>
        <v>900</v>
      </c>
      <c r="O43" s="15">
        <f>N43 *$R$3</f>
        <v>13.5</v>
      </c>
    </row>
    <row r="44" spans="1:15" ht="15.75">
      <c r="A44" s="3">
        <v>676</v>
      </c>
      <c r="B44">
        <f>DAY(F44)</f>
        <v>19</v>
      </c>
      <c r="C44" t="str">
        <f>TEXT(F44, "mmmm")</f>
        <v>July</v>
      </c>
      <c r="D44" s="3">
        <f>MONTH(F44)</f>
        <v>7</v>
      </c>
      <c r="E44" s="3">
        <f>YEAR(F44)</f>
        <v>2023</v>
      </c>
      <c r="F44" s="2">
        <v>45126</v>
      </c>
      <c r="G44" s="3" t="s">
        <v>245</v>
      </c>
      <c r="H44" s="3" t="s">
        <v>18</v>
      </c>
      <c r="I44" s="3">
        <v>63</v>
      </c>
      <c r="J44" s="3"/>
      <c r="K44" s="3" t="s">
        <v>196</v>
      </c>
      <c r="L44" s="3">
        <v>3</v>
      </c>
      <c r="M44" s="4">
        <v>500</v>
      </c>
      <c r="N44">
        <f>L44 * M44</f>
        <v>1500</v>
      </c>
      <c r="O44" s="15">
        <f>N44 *$R$3</f>
        <v>22.5</v>
      </c>
    </row>
    <row r="45" spans="1:15" ht="15.75">
      <c r="A45" s="3">
        <v>824</v>
      </c>
      <c r="B45">
        <f>DAY(F45)</f>
        <v>5</v>
      </c>
      <c r="C45" t="str">
        <f>TEXT(F45, "mmmm")</f>
        <v>May</v>
      </c>
      <c r="D45" s="3">
        <f>MONTH(F45)</f>
        <v>5</v>
      </c>
      <c r="E45" s="3">
        <f>YEAR(F45)</f>
        <v>2023</v>
      </c>
      <c r="F45" s="2">
        <v>45051</v>
      </c>
      <c r="G45" s="3" t="s">
        <v>246</v>
      </c>
      <c r="H45" s="3" t="s">
        <v>18</v>
      </c>
      <c r="I45" s="3">
        <v>63</v>
      </c>
      <c r="J45" s="3"/>
      <c r="K45" s="3" t="s">
        <v>195</v>
      </c>
      <c r="L45" s="3">
        <v>4</v>
      </c>
      <c r="M45" s="4">
        <v>30</v>
      </c>
      <c r="N45">
        <f>L45 * M45</f>
        <v>120</v>
      </c>
      <c r="O45" s="15">
        <f>N45 *$R$3</f>
        <v>1.7999999999999998</v>
      </c>
    </row>
    <row r="46" spans="1:15" ht="15.75">
      <c r="A46" s="3">
        <v>848</v>
      </c>
      <c r="B46">
        <f>DAY(F46)</f>
        <v>13</v>
      </c>
      <c r="C46" t="str">
        <f>TEXT(F46, "mmmm")</f>
        <v>February</v>
      </c>
      <c r="D46" s="3">
        <f>MONTH(F46)</f>
        <v>2</v>
      </c>
      <c r="E46" s="3">
        <f>YEAR(F46)</f>
        <v>2023</v>
      </c>
      <c r="F46" s="2">
        <v>44970</v>
      </c>
      <c r="G46" s="3" t="s">
        <v>247</v>
      </c>
      <c r="H46" s="3" t="s">
        <v>198</v>
      </c>
      <c r="I46" s="3">
        <v>63</v>
      </c>
      <c r="J46" s="3"/>
      <c r="K46" s="3" t="s">
        <v>195</v>
      </c>
      <c r="L46" s="3">
        <v>3</v>
      </c>
      <c r="M46" s="4">
        <v>25</v>
      </c>
      <c r="N46">
        <f>L46 * M46</f>
        <v>75</v>
      </c>
      <c r="O46" s="15">
        <f>N46 *$R$3</f>
        <v>1.125</v>
      </c>
    </row>
    <row r="47" spans="1:15" ht="15.75">
      <c r="A47" s="3">
        <v>860</v>
      </c>
      <c r="B47">
        <f>DAY(F47)</f>
        <v>9</v>
      </c>
      <c r="C47" t="str">
        <f>TEXT(F47, "mmmm")</f>
        <v>January</v>
      </c>
      <c r="D47" s="3">
        <f>MONTH(F47)</f>
        <v>1</v>
      </c>
      <c r="E47" s="3">
        <f>YEAR(F47)</f>
        <v>2023</v>
      </c>
      <c r="F47" s="2">
        <v>44935</v>
      </c>
      <c r="G47" s="3" t="s">
        <v>248</v>
      </c>
      <c r="H47" s="3" t="s">
        <v>18</v>
      </c>
      <c r="I47" s="3">
        <v>63</v>
      </c>
      <c r="J47" s="3"/>
      <c r="K47" s="3" t="s">
        <v>195</v>
      </c>
      <c r="L47" s="3">
        <v>4</v>
      </c>
      <c r="M47" s="4">
        <v>50</v>
      </c>
      <c r="N47">
        <f>L47 * M47</f>
        <v>200</v>
      </c>
      <c r="O47" s="15">
        <f>N47 *$R$3</f>
        <v>3</v>
      </c>
    </row>
    <row r="48" spans="1:15" ht="15.75">
      <c r="A48" s="3">
        <v>872</v>
      </c>
      <c r="B48">
        <f>DAY(F48)</f>
        <v>11</v>
      </c>
      <c r="C48" t="str">
        <f>TEXT(F48, "mmmm")</f>
        <v>October</v>
      </c>
      <c r="D48" s="3">
        <f>MONTH(F48)</f>
        <v>10</v>
      </c>
      <c r="E48" s="3">
        <f>YEAR(F48)</f>
        <v>2023</v>
      </c>
      <c r="F48" s="2">
        <v>45210</v>
      </c>
      <c r="G48" s="3" t="s">
        <v>249</v>
      </c>
      <c r="H48" s="3" t="s">
        <v>198</v>
      </c>
      <c r="I48" s="3">
        <v>63</v>
      </c>
      <c r="J48" s="3"/>
      <c r="K48" s="3" t="s">
        <v>19</v>
      </c>
      <c r="L48" s="3">
        <v>3</v>
      </c>
      <c r="M48" s="4">
        <v>25</v>
      </c>
      <c r="N48">
        <f>L48 * M48</f>
        <v>75</v>
      </c>
      <c r="O48" s="15">
        <f>N48 *$R$3</f>
        <v>1.125</v>
      </c>
    </row>
    <row r="49" spans="1:15" ht="15.75">
      <c r="A49" s="3">
        <v>988</v>
      </c>
      <c r="B49">
        <f>DAY(F49)</f>
        <v>28</v>
      </c>
      <c r="C49" t="str">
        <f>TEXT(F49, "mmmm")</f>
        <v>May</v>
      </c>
      <c r="D49" s="3">
        <f>MONTH(F49)</f>
        <v>5</v>
      </c>
      <c r="E49" s="3">
        <f>YEAR(F49)</f>
        <v>2023</v>
      </c>
      <c r="F49" s="2">
        <v>45074</v>
      </c>
      <c r="G49" s="3" t="s">
        <v>250</v>
      </c>
      <c r="H49" s="3" t="s">
        <v>198</v>
      </c>
      <c r="I49" s="3">
        <v>63</v>
      </c>
      <c r="J49" s="3"/>
      <c r="K49" s="3" t="s">
        <v>195</v>
      </c>
      <c r="L49" s="3">
        <v>3</v>
      </c>
      <c r="M49" s="4">
        <v>25</v>
      </c>
      <c r="N49">
        <f>L49 * M49</f>
        <v>75</v>
      </c>
      <c r="O49" s="15">
        <f>N49 *$R$3</f>
        <v>1.125</v>
      </c>
    </row>
    <row r="50" spans="1:15" ht="15.75">
      <c r="A50" s="3">
        <v>19</v>
      </c>
      <c r="B50">
        <f>DAY(F50)</f>
        <v>16</v>
      </c>
      <c r="C50" t="str">
        <f>TEXT(F50, "mmmm")</f>
        <v>September</v>
      </c>
      <c r="D50" s="3">
        <f>MONTH(F50)</f>
        <v>9</v>
      </c>
      <c r="E50" s="3">
        <f>YEAR(F50)</f>
        <v>2023</v>
      </c>
      <c r="F50" s="2">
        <v>45185</v>
      </c>
      <c r="G50" s="3" t="s">
        <v>251</v>
      </c>
      <c r="H50" s="3" t="s">
        <v>198</v>
      </c>
      <c r="I50" s="3">
        <v>62</v>
      </c>
      <c r="J50" s="3"/>
      <c r="K50" s="3" t="s">
        <v>195</v>
      </c>
      <c r="L50" s="3">
        <v>2</v>
      </c>
      <c r="M50" s="4">
        <v>25</v>
      </c>
      <c r="N50">
        <f>L50 * M50</f>
        <v>50</v>
      </c>
      <c r="O50" s="15">
        <f>N50 *$R$3</f>
        <v>0.75</v>
      </c>
    </row>
    <row r="51" spans="1:15" ht="15.75">
      <c r="A51" s="3">
        <v>59</v>
      </c>
      <c r="B51">
        <f>DAY(F51)</f>
        <v>5</v>
      </c>
      <c r="C51" t="str">
        <f>TEXT(F51, "mmmm")</f>
        <v>July</v>
      </c>
      <c r="D51" s="3">
        <f>MONTH(F51)</f>
        <v>7</v>
      </c>
      <c r="E51" s="3">
        <f>YEAR(F51)</f>
        <v>2023</v>
      </c>
      <c r="F51" s="2">
        <v>45112</v>
      </c>
      <c r="G51" s="3" t="s">
        <v>252</v>
      </c>
      <c r="H51" s="3" t="s">
        <v>18</v>
      </c>
      <c r="I51" s="3">
        <v>62</v>
      </c>
      <c r="J51" s="3"/>
      <c r="K51" s="3" t="s">
        <v>195</v>
      </c>
      <c r="L51" s="3">
        <v>1</v>
      </c>
      <c r="M51" s="4">
        <v>50</v>
      </c>
      <c r="N51">
        <f>L51 * M51</f>
        <v>50</v>
      </c>
      <c r="O51" s="15">
        <f>N51 *$R$3</f>
        <v>0.75</v>
      </c>
    </row>
    <row r="52" spans="1:15" ht="15.75">
      <c r="A52" s="3">
        <v>157</v>
      </c>
      <c r="B52">
        <f>DAY(F52)</f>
        <v>24</v>
      </c>
      <c r="C52" t="str">
        <f>TEXT(F52, "mmmm")</f>
        <v>June</v>
      </c>
      <c r="D52" s="3">
        <f>MONTH(F52)</f>
        <v>6</v>
      </c>
      <c r="E52" s="3">
        <f>YEAR(F52)</f>
        <v>2023</v>
      </c>
      <c r="F52" s="2">
        <v>45101</v>
      </c>
      <c r="G52" s="3" t="s">
        <v>253</v>
      </c>
      <c r="H52" s="3" t="s">
        <v>18</v>
      </c>
      <c r="I52" s="3">
        <v>62</v>
      </c>
      <c r="J52" s="3"/>
      <c r="K52" s="3" t="s">
        <v>196</v>
      </c>
      <c r="L52" s="3">
        <v>4</v>
      </c>
      <c r="M52" s="4">
        <v>500</v>
      </c>
      <c r="N52">
        <f>L52 * M52</f>
        <v>2000</v>
      </c>
      <c r="O52" s="15">
        <f>N52 *$R$3</f>
        <v>30</v>
      </c>
    </row>
    <row r="53" spans="1:15" ht="15.75">
      <c r="A53" s="3">
        <v>182</v>
      </c>
      <c r="B53">
        <f>DAY(F53)</f>
        <v>15</v>
      </c>
      <c r="C53" t="str">
        <f>TEXT(F53, "mmmm")</f>
        <v>June</v>
      </c>
      <c r="D53" s="3">
        <f>MONTH(F53)</f>
        <v>6</v>
      </c>
      <c r="E53" s="3">
        <f>YEAR(F53)</f>
        <v>2023</v>
      </c>
      <c r="F53" s="2">
        <v>45092</v>
      </c>
      <c r="G53" s="3" t="s">
        <v>102</v>
      </c>
      <c r="H53" s="3" t="s">
        <v>18</v>
      </c>
      <c r="I53" s="3">
        <v>62</v>
      </c>
      <c r="J53" s="3"/>
      <c r="K53" s="3" t="s">
        <v>19</v>
      </c>
      <c r="L53" s="3">
        <v>4</v>
      </c>
      <c r="M53" s="4">
        <v>30</v>
      </c>
      <c r="N53">
        <f>L53 * M53</f>
        <v>120</v>
      </c>
      <c r="O53" s="15">
        <f>N53 *$R$3</f>
        <v>1.7999999999999998</v>
      </c>
    </row>
    <row r="54" spans="1:15" ht="15.75">
      <c r="A54" s="3">
        <v>192</v>
      </c>
      <c r="B54">
        <f>DAY(F54)</f>
        <v>10</v>
      </c>
      <c r="C54" t="str">
        <f>TEXT(F54, "mmmm")</f>
        <v>February</v>
      </c>
      <c r="D54" s="3">
        <f>MONTH(F54)</f>
        <v>2</v>
      </c>
      <c r="E54" s="3">
        <f>YEAR(F54)</f>
        <v>2023</v>
      </c>
      <c r="F54" s="2">
        <v>44967</v>
      </c>
      <c r="G54" s="3" t="s">
        <v>95</v>
      </c>
      <c r="H54" s="3" t="s">
        <v>18</v>
      </c>
      <c r="I54" s="3">
        <v>62</v>
      </c>
      <c r="J54" s="3"/>
      <c r="K54" s="3" t="s">
        <v>19</v>
      </c>
      <c r="L54" s="3">
        <v>2</v>
      </c>
      <c r="M54" s="4">
        <v>50</v>
      </c>
      <c r="N54">
        <f>L54 * M54</f>
        <v>100</v>
      </c>
      <c r="O54" s="15">
        <f>N54 *$R$3</f>
        <v>1.5</v>
      </c>
    </row>
    <row r="55" spans="1:15" ht="15.75">
      <c r="A55" s="3">
        <v>216</v>
      </c>
      <c r="B55">
        <f>DAY(F55)</f>
        <v>11</v>
      </c>
      <c r="C55" t="str">
        <f>TEXT(F55, "mmmm")</f>
        <v>July</v>
      </c>
      <c r="D55" s="3">
        <f>MONTH(F55)</f>
        <v>7</v>
      </c>
      <c r="E55" s="3">
        <f>YEAR(F55)</f>
        <v>2023</v>
      </c>
      <c r="F55" s="2">
        <v>45118</v>
      </c>
      <c r="G55" s="3" t="s">
        <v>254</v>
      </c>
      <c r="H55" s="3" t="s">
        <v>18</v>
      </c>
      <c r="I55" s="3">
        <v>62</v>
      </c>
      <c r="J55" s="3"/>
      <c r="K55" s="3" t="s">
        <v>196</v>
      </c>
      <c r="L55" s="3">
        <v>2</v>
      </c>
      <c r="M55" s="4">
        <v>50</v>
      </c>
      <c r="N55">
        <f>L55 * M55</f>
        <v>100</v>
      </c>
      <c r="O55" s="15">
        <f>N55 *$R$3</f>
        <v>1.5</v>
      </c>
    </row>
    <row r="56" spans="1:15" ht="15.75">
      <c r="A56" s="3">
        <v>234</v>
      </c>
      <c r="B56">
        <f>DAY(F56)</f>
        <v>20</v>
      </c>
      <c r="C56" t="str">
        <f>TEXT(F56, "mmmm")</f>
        <v>November</v>
      </c>
      <c r="D56" s="3">
        <f>MONTH(F56)</f>
        <v>11</v>
      </c>
      <c r="E56" s="3">
        <f>YEAR(F56)</f>
        <v>2023</v>
      </c>
      <c r="F56" s="2">
        <v>45250</v>
      </c>
      <c r="G56" s="3" t="s">
        <v>255</v>
      </c>
      <c r="H56" s="3" t="s">
        <v>198</v>
      </c>
      <c r="I56" s="3">
        <v>62</v>
      </c>
      <c r="J56" s="3"/>
      <c r="K56" s="3" t="s">
        <v>196</v>
      </c>
      <c r="L56" s="3">
        <v>2</v>
      </c>
      <c r="M56" s="4">
        <v>25</v>
      </c>
      <c r="N56">
        <f>L56 * M56</f>
        <v>50</v>
      </c>
      <c r="O56" s="15">
        <f>N56 *$R$3</f>
        <v>0.75</v>
      </c>
    </row>
    <row r="57" spans="1:15" ht="15.75">
      <c r="A57" s="3">
        <v>271</v>
      </c>
      <c r="B57">
        <f>DAY(F57)</f>
        <v>23</v>
      </c>
      <c r="C57" t="str">
        <f>TEXT(F57, "mmmm")</f>
        <v>June</v>
      </c>
      <c r="D57" s="3">
        <f>MONTH(F57)</f>
        <v>6</v>
      </c>
      <c r="E57" s="3">
        <f>YEAR(F57)</f>
        <v>2023</v>
      </c>
      <c r="F57" s="2">
        <v>45100</v>
      </c>
      <c r="G57" s="3" t="s">
        <v>256</v>
      </c>
      <c r="H57" s="3" t="s">
        <v>198</v>
      </c>
      <c r="I57" s="3">
        <v>62</v>
      </c>
      <c r="J57" s="3"/>
      <c r="K57" s="3" t="s">
        <v>19</v>
      </c>
      <c r="L57" s="3">
        <v>4</v>
      </c>
      <c r="M57" s="4">
        <v>30</v>
      </c>
      <c r="N57">
        <f>L57 * M57</f>
        <v>120</v>
      </c>
      <c r="O57" s="15">
        <f>N57 *$R$3</f>
        <v>1.7999999999999998</v>
      </c>
    </row>
    <row r="58" spans="1:15" ht="15.75">
      <c r="A58" s="3">
        <v>345</v>
      </c>
      <c r="B58">
        <f>DAY(F58)</f>
        <v>14</v>
      </c>
      <c r="C58" t="str">
        <f>TEXT(F58, "mmmm")</f>
        <v>November</v>
      </c>
      <c r="D58" s="3">
        <f>MONTH(F58)</f>
        <v>11</v>
      </c>
      <c r="E58" s="3">
        <f>YEAR(F58)</f>
        <v>2023</v>
      </c>
      <c r="F58" s="2">
        <v>45244</v>
      </c>
      <c r="G58" s="3" t="s">
        <v>257</v>
      </c>
      <c r="H58" s="3" t="s">
        <v>18</v>
      </c>
      <c r="I58" s="3">
        <v>62</v>
      </c>
      <c r="J58" s="3"/>
      <c r="K58" s="3" t="s">
        <v>196</v>
      </c>
      <c r="L58" s="3">
        <v>1</v>
      </c>
      <c r="M58" s="4">
        <v>30</v>
      </c>
      <c r="N58">
        <f>L58 * M58</f>
        <v>30</v>
      </c>
      <c r="O58" s="15">
        <f>N58 *$R$3</f>
        <v>0.44999999999999996</v>
      </c>
    </row>
    <row r="59" spans="1:15" ht="15.75">
      <c r="A59" s="3">
        <v>401</v>
      </c>
      <c r="B59">
        <f>DAY(F59)</f>
        <v>11</v>
      </c>
      <c r="C59" t="str">
        <f>TEXT(F59, "mmmm")</f>
        <v>October</v>
      </c>
      <c r="D59" s="3">
        <f>MONTH(F59)</f>
        <v>10</v>
      </c>
      <c r="E59" s="3">
        <f>YEAR(F59)</f>
        <v>2023</v>
      </c>
      <c r="F59" s="2">
        <v>45210</v>
      </c>
      <c r="G59" s="3" t="s">
        <v>258</v>
      </c>
      <c r="H59" s="3" t="s">
        <v>198</v>
      </c>
      <c r="I59" s="3">
        <v>62</v>
      </c>
      <c r="J59" s="3"/>
      <c r="K59" s="3" t="s">
        <v>195</v>
      </c>
      <c r="L59" s="3">
        <v>1</v>
      </c>
      <c r="M59" s="4">
        <v>300</v>
      </c>
      <c r="N59">
        <f>L59 * M59</f>
        <v>300</v>
      </c>
      <c r="O59" s="15">
        <f>N59 *$R$3</f>
        <v>4.5</v>
      </c>
    </row>
    <row r="60" spans="1:15" ht="15.75">
      <c r="A60" s="3">
        <v>411</v>
      </c>
      <c r="B60">
        <f>DAY(F60)</f>
        <v>16</v>
      </c>
      <c r="C60" t="str">
        <f>TEXT(F60, "mmmm")</f>
        <v>May</v>
      </c>
      <c r="D60" s="3">
        <f>MONTH(F60)</f>
        <v>5</v>
      </c>
      <c r="E60" s="3">
        <f>YEAR(F60)</f>
        <v>2023</v>
      </c>
      <c r="F60" s="2">
        <v>45062</v>
      </c>
      <c r="G60" s="3" t="s">
        <v>259</v>
      </c>
      <c r="H60" s="3" t="s">
        <v>18</v>
      </c>
      <c r="I60" s="3">
        <v>62</v>
      </c>
      <c r="J60" s="3"/>
      <c r="K60" s="3" t="s">
        <v>196</v>
      </c>
      <c r="L60" s="3">
        <v>4</v>
      </c>
      <c r="M60" s="4">
        <v>50</v>
      </c>
      <c r="N60">
        <f>L60 * M60</f>
        <v>200</v>
      </c>
      <c r="O60" s="15">
        <f>N60 *$R$3</f>
        <v>3</v>
      </c>
    </row>
    <row r="61" spans="1:15" ht="15.75">
      <c r="A61" s="3">
        <v>523</v>
      </c>
      <c r="B61">
        <f>DAY(F61)</f>
        <v>24</v>
      </c>
      <c r="C61" t="str">
        <f>TEXT(F61, "mmmm")</f>
        <v>September</v>
      </c>
      <c r="D61" s="3">
        <f>MONTH(F61)</f>
        <v>9</v>
      </c>
      <c r="E61" s="3">
        <f>YEAR(F61)</f>
        <v>2023</v>
      </c>
      <c r="F61" s="2">
        <v>45193</v>
      </c>
      <c r="G61" s="3" t="s">
        <v>260</v>
      </c>
      <c r="H61" s="3" t="s">
        <v>198</v>
      </c>
      <c r="I61" s="3">
        <v>62</v>
      </c>
      <c r="J61" s="3"/>
      <c r="K61" s="3" t="s">
        <v>196</v>
      </c>
      <c r="L61" s="3">
        <v>1</v>
      </c>
      <c r="M61" s="4">
        <v>300</v>
      </c>
      <c r="N61">
        <f>L61 * M61</f>
        <v>300</v>
      </c>
      <c r="O61" s="15">
        <f>N61 *$R$3</f>
        <v>4.5</v>
      </c>
    </row>
    <row r="62" spans="1:15" ht="15.75">
      <c r="A62" s="3">
        <v>629</v>
      </c>
      <c r="B62">
        <f>DAY(F62)</f>
        <v>12</v>
      </c>
      <c r="C62" t="str">
        <f>TEXT(F62, "mmmm")</f>
        <v>June</v>
      </c>
      <c r="D62" s="3">
        <f>MONTH(F62)</f>
        <v>6</v>
      </c>
      <c r="E62" s="3">
        <f>YEAR(F62)</f>
        <v>2023</v>
      </c>
      <c r="F62" s="2">
        <v>45089</v>
      </c>
      <c r="G62" s="3" t="s">
        <v>261</v>
      </c>
      <c r="H62" s="3" t="s">
        <v>18</v>
      </c>
      <c r="I62" s="3">
        <v>62</v>
      </c>
      <c r="J62" s="3"/>
      <c r="K62" s="3" t="s">
        <v>196</v>
      </c>
      <c r="L62" s="3">
        <v>2</v>
      </c>
      <c r="M62" s="4">
        <v>25</v>
      </c>
      <c r="N62">
        <f>L62 * M62</f>
        <v>50</v>
      </c>
      <c r="O62" s="15">
        <f>N62 *$R$3</f>
        <v>0.75</v>
      </c>
    </row>
    <row r="63" spans="1:15" ht="15.75">
      <c r="A63" s="3">
        <v>639</v>
      </c>
      <c r="B63">
        <f>DAY(F63)</f>
        <v>13</v>
      </c>
      <c r="C63" t="str">
        <f>TEXT(F63, "mmmm")</f>
        <v>May</v>
      </c>
      <c r="D63" s="3">
        <f>MONTH(F63)</f>
        <v>5</v>
      </c>
      <c r="E63" s="3">
        <f>YEAR(F63)</f>
        <v>2023</v>
      </c>
      <c r="F63" s="2">
        <v>45059</v>
      </c>
      <c r="G63" s="3" t="s">
        <v>262</v>
      </c>
      <c r="H63" s="3" t="s">
        <v>198</v>
      </c>
      <c r="I63" s="3">
        <v>62</v>
      </c>
      <c r="J63" s="3"/>
      <c r="K63" s="3" t="s">
        <v>19</v>
      </c>
      <c r="L63" s="3">
        <v>4</v>
      </c>
      <c r="M63" s="4">
        <v>50</v>
      </c>
      <c r="N63">
        <f>L63 * M63</f>
        <v>200</v>
      </c>
      <c r="O63" s="15">
        <f>N63 *$R$3</f>
        <v>3</v>
      </c>
    </row>
    <row r="64" spans="1:15" ht="15.75">
      <c r="A64" s="3">
        <v>668</v>
      </c>
      <c r="B64">
        <f>DAY(F64)</f>
        <v>28</v>
      </c>
      <c r="C64" t="str">
        <f>TEXT(F64, "mmmm")</f>
        <v>July</v>
      </c>
      <c r="D64" s="3">
        <f>MONTH(F64)</f>
        <v>7</v>
      </c>
      <c r="E64" s="3">
        <f>YEAR(F64)</f>
        <v>2023</v>
      </c>
      <c r="F64" s="2">
        <v>45135</v>
      </c>
      <c r="G64" s="3" t="s">
        <v>263</v>
      </c>
      <c r="H64" s="3" t="s">
        <v>198</v>
      </c>
      <c r="I64" s="3">
        <v>62</v>
      </c>
      <c r="J64" s="3"/>
      <c r="K64" s="3" t="s">
        <v>196</v>
      </c>
      <c r="L64" s="3">
        <v>3</v>
      </c>
      <c r="M64" s="4">
        <v>50</v>
      </c>
      <c r="N64">
        <f>L64 * M64</f>
        <v>150</v>
      </c>
      <c r="O64" s="15">
        <f>N64 *$R$3</f>
        <v>2.25</v>
      </c>
    </row>
    <row r="65" spans="1:15" ht="15.75">
      <c r="A65" s="3">
        <v>671</v>
      </c>
      <c r="B65">
        <f>DAY(F65)</f>
        <v>27</v>
      </c>
      <c r="C65" t="str">
        <f>TEXT(F65, "mmmm")</f>
        <v>August</v>
      </c>
      <c r="D65" s="3">
        <f>MONTH(F65)</f>
        <v>8</v>
      </c>
      <c r="E65" s="3">
        <f>YEAR(F65)</f>
        <v>2023</v>
      </c>
      <c r="F65" s="2">
        <v>45165</v>
      </c>
      <c r="G65" s="3" t="s">
        <v>264</v>
      </c>
      <c r="H65" s="3" t="s">
        <v>18</v>
      </c>
      <c r="I65" s="3">
        <v>62</v>
      </c>
      <c r="J65" s="3"/>
      <c r="K65" s="3" t="s">
        <v>196</v>
      </c>
      <c r="L65" s="3">
        <v>3</v>
      </c>
      <c r="M65" s="4">
        <v>50</v>
      </c>
      <c r="N65">
        <f>L65 * M65</f>
        <v>150</v>
      </c>
      <c r="O65" s="15">
        <f>N65 *$R$3</f>
        <v>2.25</v>
      </c>
    </row>
    <row r="66" spans="1:15" ht="15.75">
      <c r="A66" s="3">
        <v>704</v>
      </c>
      <c r="B66">
        <f>DAY(F66)</f>
        <v>28</v>
      </c>
      <c r="C66" t="str">
        <f>TEXT(F66, "mmmm")</f>
        <v>August</v>
      </c>
      <c r="D66" s="3">
        <f>MONTH(F66)</f>
        <v>8</v>
      </c>
      <c r="E66" s="3">
        <f>YEAR(F66)</f>
        <v>2023</v>
      </c>
      <c r="F66" s="2">
        <v>45166</v>
      </c>
      <c r="G66" s="3" t="s">
        <v>265</v>
      </c>
      <c r="H66" s="3" t="s">
        <v>198</v>
      </c>
      <c r="I66" s="3">
        <v>62</v>
      </c>
      <c r="J66" s="3"/>
      <c r="K66" s="3" t="s">
        <v>195</v>
      </c>
      <c r="L66" s="3">
        <v>3</v>
      </c>
      <c r="M66" s="4">
        <v>30</v>
      </c>
      <c r="N66">
        <f>L66 * M66</f>
        <v>90</v>
      </c>
      <c r="O66" s="15">
        <f>N66 *$R$3</f>
        <v>1.3499999999999999</v>
      </c>
    </row>
    <row r="67" spans="1:15" ht="15.75">
      <c r="A67" s="3">
        <v>756</v>
      </c>
      <c r="B67">
        <f>DAY(F67)</f>
        <v>27</v>
      </c>
      <c r="C67" t="str">
        <f>TEXT(F67, "mmmm")</f>
        <v>August</v>
      </c>
      <c r="D67" s="3">
        <f>MONTH(F67)</f>
        <v>8</v>
      </c>
      <c r="E67" s="3">
        <f>YEAR(F67)</f>
        <v>2023</v>
      </c>
      <c r="F67" s="2">
        <v>45165</v>
      </c>
      <c r="G67" s="3" t="s">
        <v>266</v>
      </c>
      <c r="H67" s="3" t="s">
        <v>198</v>
      </c>
      <c r="I67" s="3">
        <v>62</v>
      </c>
      <c r="J67" s="3"/>
      <c r="K67" s="3" t="s">
        <v>196</v>
      </c>
      <c r="L67" s="3">
        <v>4</v>
      </c>
      <c r="M67" s="4">
        <v>300</v>
      </c>
      <c r="N67">
        <f>L67 * M67</f>
        <v>1200</v>
      </c>
      <c r="O67" s="15">
        <f>N67 *$R$3</f>
        <v>18</v>
      </c>
    </row>
    <row r="68" spans="1:15" ht="15.75">
      <c r="A68" s="3">
        <v>790</v>
      </c>
      <c r="B68">
        <f>DAY(F68)</f>
        <v>8</v>
      </c>
      <c r="C68" t="str">
        <f>TEXT(F68, "mmmm")</f>
        <v>August</v>
      </c>
      <c r="D68" s="3">
        <f>MONTH(F68)</f>
        <v>8</v>
      </c>
      <c r="E68" s="3">
        <f>YEAR(F68)</f>
        <v>2023</v>
      </c>
      <c r="F68" s="2">
        <v>45146</v>
      </c>
      <c r="G68" s="3" t="s">
        <v>267</v>
      </c>
      <c r="H68" s="3" t="s">
        <v>18</v>
      </c>
      <c r="I68" s="3">
        <v>62</v>
      </c>
      <c r="J68" s="3"/>
      <c r="K68" s="3" t="s">
        <v>195</v>
      </c>
      <c r="L68" s="3">
        <v>1</v>
      </c>
      <c r="M68" s="4">
        <v>25</v>
      </c>
      <c r="N68">
        <f>L68 * M68</f>
        <v>25</v>
      </c>
      <c r="O68" s="15">
        <f>N68 *$R$3</f>
        <v>0.375</v>
      </c>
    </row>
    <row r="69" spans="1:15" ht="15.75">
      <c r="A69" s="3">
        <v>809</v>
      </c>
      <c r="B69">
        <f>DAY(F69)</f>
        <v>25</v>
      </c>
      <c r="C69" t="str">
        <f>TEXT(F69, "mmmm")</f>
        <v>September</v>
      </c>
      <c r="D69" s="3">
        <f>MONTH(F69)</f>
        <v>9</v>
      </c>
      <c r="E69" s="3">
        <f>YEAR(F69)</f>
        <v>2023</v>
      </c>
      <c r="F69" s="2">
        <v>45194</v>
      </c>
      <c r="G69" s="3" t="s">
        <v>268</v>
      </c>
      <c r="H69" s="3" t="s">
        <v>198</v>
      </c>
      <c r="I69" s="3">
        <v>62</v>
      </c>
      <c r="J69" s="3"/>
      <c r="K69" s="3" t="s">
        <v>19</v>
      </c>
      <c r="L69" s="3">
        <v>2</v>
      </c>
      <c r="M69" s="4">
        <v>50</v>
      </c>
      <c r="N69">
        <f>L69 * M69</f>
        <v>100</v>
      </c>
      <c r="O69" s="15">
        <f>N69 *$R$3</f>
        <v>1.5</v>
      </c>
    </row>
    <row r="70" spans="1:15" ht="15.75">
      <c r="A70" s="3">
        <v>840</v>
      </c>
      <c r="B70">
        <f>DAY(F70)</f>
        <v>24</v>
      </c>
      <c r="C70" t="str">
        <f>TEXT(F70, "mmmm")</f>
        <v>May</v>
      </c>
      <c r="D70" s="3">
        <f>MONTH(F70)</f>
        <v>5</v>
      </c>
      <c r="E70" s="3">
        <f>YEAR(F70)</f>
        <v>2023</v>
      </c>
      <c r="F70" s="2">
        <v>45070</v>
      </c>
      <c r="G70" s="3" t="s">
        <v>269</v>
      </c>
      <c r="H70" s="3" t="s">
        <v>18</v>
      </c>
      <c r="I70" s="3">
        <v>62</v>
      </c>
      <c r="J70" s="3"/>
      <c r="K70" s="3" t="s">
        <v>195</v>
      </c>
      <c r="L70" s="3">
        <v>2</v>
      </c>
      <c r="M70" s="4">
        <v>25</v>
      </c>
      <c r="N70">
        <f>L70 * M70</f>
        <v>50</v>
      </c>
      <c r="O70" s="15">
        <f>N70 *$R$3</f>
        <v>0.75</v>
      </c>
    </row>
    <row r="71" spans="1:15" ht="15.75">
      <c r="A71" s="3">
        <v>871</v>
      </c>
      <c r="B71">
        <f>DAY(F71)</f>
        <v>31</v>
      </c>
      <c r="C71" t="str">
        <f>TEXT(F71, "mmmm")</f>
        <v>August</v>
      </c>
      <c r="D71" s="3">
        <f>MONTH(F71)</f>
        <v>8</v>
      </c>
      <c r="E71" s="3">
        <f>YEAR(F71)</f>
        <v>2023</v>
      </c>
      <c r="F71" s="2">
        <v>45169</v>
      </c>
      <c r="G71" s="3" t="s">
        <v>55</v>
      </c>
      <c r="H71" s="3" t="s">
        <v>18</v>
      </c>
      <c r="I71" s="3">
        <v>62</v>
      </c>
      <c r="J71" s="3"/>
      <c r="K71" s="3" t="s">
        <v>19</v>
      </c>
      <c r="L71" s="3">
        <v>2</v>
      </c>
      <c r="M71" s="4">
        <v>30</v>
      </c>
      <c r="N71">
        <f>L71 * M71</f>
        <v>60</v>
      </c>
      <c r="O71" s="15">
        <f>N71 *$R$3</f>
        <v>0.89999999999999991</v>
      </c>
    </row>
    <row r="72" spans="1:15" ht="15.75">
      <c r="A72" s="3">
        <v>937</v>
      </c>
      <c r="B72">
        <f>DAY(F72)</f>
        <v>23</v>
      </c>
      <c r="C72" t="str">
        <f>TEXT(F72, "mmmm")</f>
        <v>October</v>
      </c>
      <c r="D72" s="3">
        <f>MONTH(F72)</f>
        <v>10</v>
      </c>
      <c r="E72" s="3">
        <f>YEAR(F72)</f>
        <v>2023</v>
      </c>
      <c r="F72" s="2">
        <v>45222</v>
      </c>
      <c r="G72" s="3" t="s">
        <v>270</v>
      </c>
      <c r="H72" s="3" t="s">
        <v>198</v>
      </c>
      <c r="I72" s="3">
        <v>62</v>
      </c>
      <c r="J72" s="3"/>
      <c r="K72" s="3" t="s">
        <v>19</v>
      </c>
      <c r="L72" s="3">
        <v>1</v>
      </c>
      <c r="M72" s="4">
        <v>500</v>
      </c>
      <c r="N72">
        <f>L72 * M72</f>
        <v>500</v>
      </c>
      <c r="O72" s="15">
        <f>N72 *$R$3</f>
        <v>7.5</v>
      </c>
    </row>
    <row r="73" spans="1:15" ht="15.75">
      <c r="A73" s="3">
        <v>946</v>
      </c>
      <c r="B73">
        <f>DAY(F73)</f>
        <v>8</v>
      </c>
      <c r="C73" t="str">
        <f>TEXT(F73, "mmmm")</f>
        <v>May</v>
      </c>
      <c r="D73" s="3">
        <f>MONTH(F73)</f>
        <v>5</v>
      </c>
      <c r="E73" s="3">
        <f>YEAR(F73)</f>
        <v>2023</v>
      </c>
      <c r="F73" s="2">
        <v>45054</v>
      </c>
      <c r="G73" s="3" t="s">
        <v>271</v>
      </c>
      <c r="H73" s="3" t="s">
        <v>18</v>
      </c>
      <c r="I73" s="3">
        <v>62</v>
      </c>
      <c r="J73" s="3"/>
      <c r="K73" s="3" t="s">
        <v>196</v>
      </c>
      <c r="L73" s="3">
        <v>4</v>
      </c>
      <c r="M73" s="4">
        <v>500</v>
      </c>
      <c r="N73">
        <f>L73 * M73</f>
        <v>2000</v>
      </c>
      <c r="O73" s="15">
        <f>N73 *$R$3</f>
        <v>30</v>
      </c>
    </row>
    <row r="74" spans="1:15" ht="15.75">
      <c r="A74" s="3">
        <v>958</v>
      </c>
      <c r="B74">
        <f>DAY(F74)</f>
        <v>2</v>
      </c>
      <c r="C74" t="str">
        <f>TEXT(F74, "mmmm")</f>
        <v>June</v>
      </c>
      <c r="D74" s="3">
        <f>MONTH(F74)</f>
        <v>6</v>
      </c>
      <c r="E74" s="3">
        <f>YEAR(F74)</f>
        <v>2023</v>
      </c>
      <c r="F74" s="2">
        <v>45079</v>
      </c>
      <c r="G74" s="3" t="s">
        <v>272</v>
      </c>
      <c r="H74" s="3" t="s">
        <v>18</v>
      </c>
      <c r="I74" s="3">
        <v>62</v>
      </c>
      <c r="J74" s="3"/>
      <c r="K74" s="3" t="s">
        <v>196</v>
      </c>
      <c r="L74" s="3">
        <v>2</v>
      </c>
      <c r="M74" s="4">
        <v>25</v>
      </c>
      <c r="N74">
        <f>L74 * M74</f>
        <v>50</v>
      </c>
      <c r="O74" s="15">
        <f>N74 *$R$3</f>
        <v>0.75</v>
      </c>
    </row>
    <row r="75" spans="1:15" ht="15.75">
      <c r="A75" s="3">
        <v>967</v>
      </c>
      <c r="B75">
        <f>DAY(F75)</f>
        <v>17</v>
      </c>
      <c r="C75" t="str">
        <f>TEXT(F75, "mmmm")</f>
        <v>April</v>
      </c>
      <c r="D75" s="3">
        <f>MONTH(F75)</f>
        <v>4</v>
      </c>
      <c r="E75" s="3">
        <f>YEAR(F75)</f>
        <v>2023</v>
      </c>
      <c r="F75" s="2">
        <v>45033</v>
      </c>
      <c r="G75" s="3" t="s">
        <v>17</v>
      </c>
      <c r="H75" s="3" t="s">
        <v>18</v>
      </c>
      <c r="I75" s="3">
        <v>62</v>
      </c>
      <c r="J75" s="3"/>
      <c r="K75" s="3" t="s">
        <v>19</v>
      </c>
      <c r="L75" s="3">
        <v>1</v>
      </c>
      <c r="M75" s="4">
        <v>25</v>
      </c>
      <c r="N75">
        <f>L75 * M75</f>
        <v>25</v>
      </c>
      <c r="O75" s="15">
        <f>N75 *$R$3</f>
        <v>0.375</v>
      </c>
    </row>
    <row r="76" spans="1:15" ht="15.75">
      <c r="A76" s="3">
        <v>996</v>
      </c>
      <c r="B76">
        <f>DAY(F76)</f>
        <v>16</v>
      </c>
      <c r="C76" t="str">
        <f>TEXT(F76, "mmmm")</f>
        <v>May</v>
      </c>
      <c r="D76" s="3">
        <f>MONTH(F76)</f>
        <v>5</v>
      </c>
      <c r="E76" s="3">
        <f>YEAR(F76)</f>
        <v>2023</v>
      </c>
      <c r="F76" s="2">
        <v>45062</v>
      </c>
      <c r="G76" s="3" t="s">
        <v>273</v>
      </c>
      <c r="H76" s="3" t="s">
        <v>18</v>
      </c>
      <c r="I76" s="3">
        <v>62</v>
      </c>
      <c r="J76" s="3"/>
      <c r="K76" s="3" t="s">
        <v>195</v>
      </c>
      <c r="L76" s="3">
        <v>1</v>
      </c>
      <c r="M76" s="4">
        <v>50</v>
      </c>
      <c r="N76">
        <f>L76 * M76</f>
        <v>50</v>
      </c>
      <c r="O76" s="15">
        <f>N76 *$R$3</f>
        <v>0.75</v>
      </c>
    </row>
    <row r="77" spans="1:15" ht="15.75">
      <c r="A77" s="3">
        <v>75</v>
      </c>
      <c r="B77">
        <f>DAY(F77)</f>
        <v>6</v>
      </c>
      <c r="C77" t="str">
        <f>TEXT(F77, "mmmm")</f>
        <v>July</v>
      </c>
      <c r="D77" s="3">
        <f>MONTH(F77)</f>
        <v>7</v>
      </c>
      <c r="E77" s="3">
        <f>YEAR(F77)</f>
        <v>2023</v>
      </c>
      <c r="F77" s="2">
        <v>45113</v>
      </c>
      <c r="G77" s="3" t="s">
        <v>113</v>
      </c>
      <c r="H77" s="3" t="s">
        <v>18</v>
      </c>
      <c r="I77" s="3">
        <v>61</v>
      </c>
      <c r="J77" s="3"/>
      <c r="K77" s="3" t="s">
        <v>19</v>
      </c>
      <c r="L77" s="3">
        <v>4</v>
      </c>
      <c r="M77" s="4">
        <v>50</v>
      </c>
      <c r="N77">
        <f>L77 * M77</f>
        <v>200</v>
      </c>
      <c r="O77" s="15">
        <f>N77 *$R$3</f>
        <v>3</v>
      </c>
    </row>
    <row r="78" spans="1:15" ht="15.75">
      <c r="A78" s="3">
        <v>206</v>
      </c>
      <c r="B78">
        <f>DAY(F78)</f>
        <v>5</v>
      </c>
      <c r="C78" t="str">
        <f>TEXT(F78, "mmmm")</f>
        <v>August</v>
      </c>
      <c r="D78" s="3">
        <f>MONTH(F78)</f>
        <v>8</v>
      </c>
      <c r="E78" s="3">
        <f>YEAR(F78)</f>
        <v>2023</v>
      </c>
      <c r="F78" s="2">
        <v>45143</v>
      </c>
      <c r="G78" s="3" t="s">
        <v>274</v>
      </c>
      <c r="H78" s="3" t="s">
        <v>18</v>
      </c>
      <c r="I78" s="3">
        <v>61</v>
      </c>
      <c r="J78" s="3"/>
      <c r="K78" s="3" t="s">
        <v>195</v>
      </c>
      <c r="L78" s="3">
        <v>1</v>
      </c>
      <c r="M78" s="4">
        <v>25</v>
      </c>
      <c r="N78">
        <f>L78 * M78</f>
        <v>25</v>
      </c>
      <c r="O78" s="15">
        <f>N78 *$R$3</f>
        <v>0.375</v>
      </c>
    </row>
    <row r="79" spans="1:15" ht="15.75">
      <c r="A79" s="3">
        <v>226</v>
      </c>
      <c r="B79">
        <f>DAY(F79)</f>
        <v>29</v>
      </c>
      <c r="C79" t="str">
        <f>TEXT(F79, "mmmm")</f>
        <v>October</v>
      </c>
      <c r="D79" s="3">
        <f>MONTH(F79)</f>
        <v>10</v>
      </c>
      <c r="E79" s="3">
        <f>YEAR(F79)</f>
        <v>2023</v>
      </c>
      <c r="F79" s="2">
        <v>45228</v>
      </c>
      <c r="G79" s="3" t="s">
        <v>275</v>
      </c>
      <c r="H79" s="3" t="s">
        <v>198</v>
      </c>
      <c r="I79" s="3">
        <v>61</v>
      </c>
      <c r="J79" s="3"/>
      <c r="K79" s="3" t="s">
        <v>195</v>
      </c>
      <c r="L79" s="3">
        <v>1</v>
      </c>
      <c r="M79" s="4">
        <v>50</v>
      </c>
      <c r="N79">
        <f>L79 * M79</f>
        <v>50</v>
      </c>
      <c r="O79" s="15">
        <f>N79 *$R$3</f>
        <v>0.75</v>
      </c>
    </row>
    <row r="80" spans="1:15" ht="15.75">
      <c r="A80" s="3">
        <v>272</v>
      </c>
      <c r="B80">
        <f>DAY(F80)</f>
        <v>25</v>
      </c>
      <c r="C80" t="str">
        <f>TEXT(F80, "mmmm")</f>
        <v>February</v>
      </c>
      <c r="D80" s="3">
        <f>MONTH(F80)</f>
        <v>2</v>
      </c>
      <c r="E80" s="3">
        <f>YEAR(F80)</f>
        <v>2023</v>
      </c>
      <c r="F80" s="2">
        <v>44982</v>
      </c>
      <c r="G80" s="3" t="s">
        <v>276</v>
      </c>
      <c r="H80" s="3" t="s">
        <v>198</v>
      </c>
      <c r="I80" s="3">
        <v>61</v>
      </c>
      <c r="J80" s="3"/>
      <c r="K80" s="3" t="s">
        <v>196</v>
      </c>
      <c r="L80" s="3">
        <v>2</v>
      </c>
      <c r="M80" s="4">
        <v>50</v>
      </c>
      <c r="N80">
        <f>L80 * M80</f>
        <v>100</v>
      </c>
      <c r="O80" s="15">
        <f>N80 *$R$3</f>
        <v>1.5</v>
      </c>
    </row>
    <row r="81" spans="1:15" ht="15.75">
      <c r="A81" s="3">
        <v>299</v>
      </c>
      <c r="B81">
        <f>DAY(F81)</f>
        <v>25</v>
      </c>
      <c r="C81" t="str">
        <f>TEXT(F81, "mmmm")</f>
        <v>July</v>
      </c>
      <c r="D81" s="3">
        <f>MONTH(F81)</f>
        <v>7</v>
      </c>
      <c r="E81" s="3">
        <f>YEAR(F81)</f>
        <v>2023</v>
      </c>
      <c r="F81" s="2">
        <v>45132</v>
      </c>
      <c r="G81" s="3" t="s">
        <v>277</v>
      </c>
      <c r="H81" s="3" t="s">
        <v>18</v>
      </c>
      <c r="I81" s="3">
        <v>61</v>
      </c>
      <c r="J81" s="3"/>
      <c r="K81" s="3" t="s">
        <v>196</v>
      </c>
      <c r="L81" s="3">
        <v>2</v>
      </c>
      <c r="M81" s="4">
        <v>500</v>
      </c>
      <c r="N81">
        <f>L81 * M81</f>
        <v>1000</v>
      </c>
      <c r="O81" s="15">
        <f>N81 *$R$3</f>
        <v>15</v>
      </c>
    </row>
    <row r="82" spans="1:15" ht="15.75">
      <c r="A82" s="3">
        <v>318</v>
      </c>
      <c r="B82">
        <f>DAY(F82)</f>
        <v>24</v>
      </c>
      <c r="C82" t="str">
        <f>TEXT(F82, "mmmm")</f>
        <v>October</v>
      </c>
      <c r="D82" s="3">
        <f>MONTH(F82)</f>
        <v>10</v>
      </c>
      <c r="E82" s="3">
        <f>YEAR(F82)</f>
        <v>2023</v>
      </c>
      <c r="F82" s="2">
        <v>45223</v>
      </c>
      <c r="G82" s="3" t="s">
        <v>278</v>
      </c>
      <c r="H82" s="3" t="s">
        <v>18</v>
      </c>
      <c r="I82" s="3">
        <v>61</v>
      </c>
      <c r="J82" s="3"/>
      <c r="K82" s="3" t="s">
        <v>195</v>
      </c>
      <c r="L82" s="3">
        <v>1</v>
      </c>
      <c r="M82" s="4">
        <v>25</v>
      </c>
      <c r="N82">
        <f>L82 * M82</f>
        <v>25</v>
      </c>
      <c r="O82" s="15">
        <f>N82 *$R$3</f>
        <v>0.375</v>
      </c>
    </row>
    <row r="83" spans="1:15" ht="15.75">
      <c r="A83" s="3">
        <v>444</v>
      </c>
      <c r="B83">
        <f>DAY(F83)</f>
        <v>7</v>
      </c>
      <c r="C83" t="str">
        <f>TEXT(F83, "mmmm")</f>
        <v>March</v>
      </c>
      <c r="D83" s="3">
        <f>MONTH(F83)</f>
        <v>3</v>
      </c>
      <c r="E83" s="3">
        <f>YEAR(F83)</f>
        <v>2023</v>
      </c>
      <c r="F83" s="2">
        <v>44992</v>
      </c>
      <c r="G83" s="3" t="s">
        <v>279</v>
      </c>
      <c r="H83" s="3" t="s">
        <v>198</v>
      </c>
      <c r="I83" s="3">
        <v>61</v>
      </c>
      <c r="J83" s="3"/>
      <c r="K83" s="3" t="s">
        <v>195</v>
      </c>
      <c r="L83" s="3">
        <v>3</v>
      </c>
      <c r="M83" s="4">
        <v>30</v>
      </c>
      <c r="N83">
        <f>L83 * M83</f>
        <v>90</v>
      </c>
      <c r="O83" s="15">
        <f>N83 *$R$3</f>
        <v>1.3499999999999999</v>
      </c>
    </row>
    <row r="84" spans="1:15" ht="15.75">
      <c r="A84" s="3">
        <v>492</v>
      </c>
      <c r="B84">
        <f>DAY(F84)</f>
        <v>29</v>
      </c>
      <c r="C84" t="str">
        <f>TEXT(F84, "mmmm")</f>
        <v>June</v>
      </c>
      <c r="D84" s="3">
        <f>MONTH(F84)</f>
        <v>6</v>
      </c>
      <c r="E84" s="3">
        <f>YEAR(F84)</f>
        <v>2023</v>
      </c>
      <c r="F84" s="2">
        <v>45106</v>
      </c>
      <c r="G84" s="3" t="s">
        <v>89</v>
      </c>
      <c r="H84" s="3" t="s">
        <v>18</v>
      </c>
      <c r="I84" s="3">
        <v>61</v>
      </c>
      <c r="J84" s="3"/>
      <c r="K84" s="3" t="s">
        <v>19</v>
      </c>
      <c r="L84" s="3">
        <v>4</v>
      </c>
      <c r="M84" s="4">
        <v>25</v>
      </c>
      <c r="N84">
        <f>L84 * M84</f>
        <v>100</v>
      </c>
      <c r="O84" s="15">
        <f>N84 *$R$3</f>
        <v>1.5</v>
      </c>
    </row>
    <row r="85" spans="1:15" ht="15.75">
      <c r="A85" s="3">
        <v>612</v>
      </c>
      <c r="B85">
        <f>DAY(F85)</f>
        <v>6</v>
      </c>
      <c r="C85" t="str">
        <f>TEXT(F85, "mmmm")</f>
        <v>August</v>
      </c>
      <c r="D85" s="3">
        <f>MONTH(F85)</f>
        <v>8</v>
      </c>
      <c r="E85" s="3">
        <f>YEAR(F85)</f>
        <v>2023</v>
      </c>
      <c r="F85" s="2">
        <v>45144</v>
      </c>
      <c r="G85" s="3" t="s">
        <v>280</v>
      </c>
      <c r="H85" s="3" t="s">
        <v>198</v>
      </c>
      <c r="I85" s="3">
        <v>61</v>
      </c>
      <c r="J85" s="3"/>
      <c r="K85" s="3" t="s">
        <v>196</v>
      </c>
      <c r="L85" s="3">
        <v>1</v>
      </c>
      <c r="M85" s="4">
        <v>500</v>
      </c>
      <c r="N85">
        <f>L85 * M85</f>
        <v>500</v>
      </c>
      <c r="O85" s="15">
        <f>N85 *$R$3</f>
        <v>7.5</v>
      </c>
    </row>
    <row r="86" spans="1:15" ht="15.75">
      <c r="A86" s="3">
        <v>615</v>
      </c>
      <c r="B86">
        <f>DAY(F86)</f>
        <v>23</v>
      </c>
      <c r="C86" t="str">
        <f>TEXT(F86, "mmmm")</f>
        <v>December</v>
      </c>
      <c r="D86" s="3">
        <f>MONTH(F86)</f>
        <v>12</v>
      </c>
      <c r="E86" s="3">
        <f>YEAR(F86)</f>
        <v>2023</v>
      </c>
      <c r="F86" s="2">
        <v>45283</v>
      </c>
      <c r="G86" s="3" t="s">
        <v>281</v>
      </c>
      <c r="H86" s="3" t="s">
        <v>198</v>
      </c>
      <c r="I86" s="3">
        <v>61</v>
      </c>
      <c r="J86" s="3"/>
      <c r="K86" s="3" t="s">
        <v>195</v>
      </c>
      <c r="L86" s="3">
        <v>4</v>
      </c>
      <c r="M86" s="4">
        <v>25</v>
      </c>
      <c r="N86">
        <f>L86 * M86</f>
        <v>100</v>
      </c>
      <c r="O86" s="15">
        <f>N86 *$R$3</f>
        <v>1.5</v>
      </c>
    </row>
    <row r="87" spans="1:15" ht="15.75">
      <c r="A87" s="3">
        <v>724</v>
      </c>
      <c r="B87">
        <f>DAY(F87)</f>
        <v>19</v>
      </c>
      <c r="C87" t="str">
        <f>TEXT(F87, "mmmm")</f>
        <v>April</v>
      </c>
      <c r="D87" s="3">
        <f>MONTH(F87)</f>
        <v>4</v>
      </c>
      <c r="E87" s="3">
        <f>YEAR(F87)</f>
        <v>2023</v>
      </c>
      <c r="F87" s="2">
        <v>45035</v>
      </c>
      <c r="G87" s="3" t="s">
        <v>282</v>
      </c>
      <c r="H87" s="3" t="s">
        <v>18</v>
      </c>
      <c r="I87" s="3">
        <v>61</v>
      </c>
      <c r="J87" s="3"/>
      <c r="K87" s="3" t="s">
        <v>195</v>
      </c>
      <c r="L87" s="3">
        <v>3</v>
      </c>
      <c r="M87" s="4">
        <v>50</v>
      </c>
      <c r="N87">
        <f>L87 * M87</f>
        <v>150</v>
      </c>
      <c r="O87" s="15">
        <f>N87 *$R$3</f>
        <v>2.25</v>
      </c>
    </row>
    <row r="88" spans="1:15" ht="15.75">
      <c r="A88" s="3">
        <v>725</v>
      </c>
      <c r="B88">
        <f>DAY(F88)</f>
        <v>21</v>
      </c>
      <c r="C88" t="str">
        <f>TEXT(F88, "mmmm")</f>
        <v>August</v>
      </c>
      <c r="D88" s="3">
        <f>MONTH(F88)</f>
        <v>8</v>
      </c>
      <c r="E88" s="3">
        <f>YEAR(F88)</f>
        <v>2023</v>
      </c>
      <c r="F88" s="2">
        <v>45159</v>
      </c>
      <c r="G88" s="3" t="s">
        <v>283</v>
      </c>
      <c r="H88" s="3" t="s">
        <v>18</v>
      </c>
      <c r="I88" s="3">
        <v>61</v>
      </c>
      <c r="J88" s="3"/>
      <c r="K88" s="3" t="s">
        <v>196</v>
      </c>
      <c r="L88" s="3">
        <v>1</v>
      </c>
      <c r="M88" s="4">
        <v>300</v>
      </c>
      <c r="N88">
        <f>L88 * M88</f>
        <v>300</v>
      </c>
      <c r="O88" s="15">
        <f>N88 *$R$3</f>
        <v>4.5</v>
      </c>
    </row>
    <row r="89" spans="1:15" ht="15.75">
      <c r="A89" s="3">
        <v>732</v>
      </c>
      <c r="B89">
        <f>DAY(F89)</f>
        <v>11</v>
      </c>
      <c r="C89" t="str">
        <f>TEXT(F89, "mmmm")</f>
        <v>February</v>
      </c>
      <c r="D89" s="3">
        <f>MONTH(F89)</f>
        <v>2</v>
      </c>
      <c r="E89" s="3">
        <f>YEAR(F89)</f>
        <v>2023</v>
      </c>
      <c r="F89" s="2">
        <v>44968</v>
      </c>
      <c r="G89" s="3" t="s">
        <v>284</v>
      </c>
      <c r="H89" s="3" t="s">
        <v>18</v>
      </c>
      <c r="I89" s="3">
        <v>61</v>
      </c>
      <c r="J89" s="3"/>
      <c r="K89" s="3" t="s">
        <v>196</v>
      </c>
      <c r="L89" s="3">
        <v>2</v>
      </c>
      <c r="M89" s="4">
        <v>500</v>
      </c>
      <c r="N89">
        <f>L89 * M89</f>
        <v>1000</v>
      </c>
      <c r="O89" s="15">
        <f>N89 *$R$3</f>
        <v>15</v>
      </c>
    </row>
    <row r="90" spans="1:15" ht="15.75">
      <c r="A90" s="3">
        <v>789</v>
      </c>
      <c r="B90">
        <f>DAY(F90)</f>
        <v>30</v>
      </c>
      <c r="C90" t="str">
        <f>TEXT(F90, "mmmm")</f>
        <v>September</v>
      </c>
      <c r="D90" s="3">
        <f>MONTH(F90)</f>
        <v>9</v>
      </c>
      <c r="E90" s="3">
        <f>YEAR(F90)</f>
        <v>2023</v>
      </c>
      <c r="F90" s="2">
        <v>45199</v>
      </c>
      <c r="G90" s="3" t="s">
        <v>285</v>
      </c>
      <c r="H90" s="3" t="s">
        <v>198</v>
      </c>
      <c r="I90" s="3">
        <v>61</v>
      </c>
      <c r="J90" s="3"/>
      <c r="K90" s="3" t="s">
        <v>195</v>
      </c>
      <c r="L90" s="3">
        <v>4</v>
      </c>
      <c r="M90" s="4">
        <v>500</v>
      </c>
      <c r="N90">
        <f>L90 * M90</f>
        <v>2000</v>
      </c>
      <c r="O90" s="15">
        <f>N90 *$R$3</f>
        <v>30</v>
      </c>
    </row>
    <row r="91" spans="1:15" ht="15.75">
      <c r="A91" s="3">
        <v>798</v>
      </c>
      <c r="B91">
        <f>DAY(F91)</f>
        <v>4</v>
      </c>
      <c r="C91" t="str">
        <f>TEXT(F91, "mmmm")</f>
        <v>August</v>
      </c>
      <c r="D91" s="3">
        <f>MONTH(F91)</f>
        <v>8</v>
      </c>
      <c r="E91" s="3">
        <f>YEAR(F91)</f>
        <v>2023</v>
      </c>
      <c r="F91" s="2">
        <v>45142</v>
      </c>
      <c r="G91" s="3" t="s">
        <v>286</v>
      </c>
      <c r="H91" s="3" t="s">
        <v>18</v>
      </c>
      <c r="I91" s="3">
        <v>61</v>
      </c>
      <c r="J91" s="3"/>
      <c r="K91" s="3" t="s">
        <v>195</v>
      </c>
      <c r="L91" s="3">
        <v>1</v>
      </c>
      <c r="M91" s="4">
        <v>50</v>
      </c>
      <c r="N91">
        <f>L91 * M91</f>
        <v>50</v>
      </c>
      <c r="O91" s="15">
        <f>N91 *$R$3</f>
        <v>0.75</v>
      </c>
    </row>
    <row r="92" spans="1:15" ht="15.75">
      <c r="A92" s="3">
        <v>811</v>
      </c>
      <c r="B92">
        <f>DAY(F92)</f>
        <v>19</v>
      </c>
      <c r="C92" t="str">
        <f>TEXT(F92, "mmmm")</f>
        <v>May</v>
      </c>
      <c r="D92" s="3">
        <f>MONTH(F92)</f>
        <v>5</v>
      </c>
      <c r="E92" s="3">
        <f>YEAR(F92)</f>
        <v>2023</v>
      </c>
      <c r="F92" s="2">
        <v>45065</v>
      </c>
      <c r="G92" s="3" t="s">
        <v>45</v>
      </c>
      <c r="H92" s="3" t="s">
        <v>18</v>
      </c>
      <c r="I92" s="3">
        <v>61</v>
      </c>
      <c r="J92" s="3"/>
      <c r="K92" s="3" t="s">
        <v>19</v>
      </c>
      <c r="L92" s="3">
        <v>2</v>
      </c>
      <c r="M92" s="4">
        <v>25</v>
      </c>
      <c r="N92">
        <f>L92 * M92</f>
        <v>50</v>
      </c>
      <c r="O92" s="15">
        <f>N92 *$R$3</f>
        <v>0.75</v>
      </c>
    </row>
    <row r="93" spans="1:15" ht="15.75">
      <c r="A93" s="3">
        <v>827</v>
      </c>
      <c r="B93">
        <f>DAY(F93)</f>
        <v>9</v>
      </c>
      <c r="C93" t="str">
        <f>TEXT(F93, "mmmm")</f>
        <v>November</v>
      </c>
      <c r="D93" s="3">
        <f>MONTH(F93)</f>
        <v>11</v>
      </c>
      <c r="E93" s="3">
        <f>YEAR(F93)</f>
        <v>2023</v>
      </c>
      <c r="F93" s="2">
        <v>45239</v>
      </c>
      <c r="G93" s="3" t="s">
        <v>132</v>
      </c>
      <c r="H93" s="3" t="s">
        <v>18</v>
      </c>
      <c r="I93" s="3">
        <v>61</v>
      </c>
      <c r="J93" s="3"/>
      <c r="K93" s="3" t="s">
        <v>19</v>
      </c>
      <c r="L93" s="3">
        <v>3</v>
      </c>
      <c r="M93" s="4">
        <v>300</v>
      </c>
      <c r="N93">
        <f>L93 * M93</f>
        <v>900</v>
      </c>
      <c r="O93" s="15">
        <f>N93 *$R$3</f>
        <v>13.5</v>
      </c>
    </row>
    <row r="94" spans="1:15" ht="15.75">
      <c r="A94" s="3">
        <v>829</v>
      </c>
      <c r="B94">
        <f>DAY(F94)</f>
        <v>14</v>
      </c>
      <c r="C94" t="str">
        <f>TEXT(F94, "mmmm")</f>
        <v>July</v>
      </c>
      <c r="D94" s="3">
        <f>MONTH(F94)</f>
        <v>7</v>
      </c>
      <c r="E94" s="3">
        <f>YEAR(F94)</f>
        <v>2023</v>
      </c>
      <c r="F94" s="2">
        <v>45121</v>
      </c>
      <c r="G94" s="3" t="s">
        <v>75</v>
      </c>
      <c r="H94" s="3" t="s">
        <v>18</v>
      </c>
      <c r="I94" s="3">
        <v>61</v>
      </c>
      <c r="J94" s="3"/>
      <c r="K94" s="3" t="s">
        <v>19</v>
      </c>
      <c r="L94" s="3">
        <v>3</v>
      </c>
      <c r="M94" s="4">
        <v>30</v>
      </c>
      <c r="N94">
        <f>L94 * M94</f>
        <v>90</v>
      </c>
      <c r="O94" s="15">
        <f>N94 *$R$3</f>
        <v>1.3499999999999999</v>
      </c>
    </row>
    <row r="95" spans="1:15" ht="15.75">
      <c r="A95" s="3">
        <v>119</v>
      </c>
      <c r="B95">
        <f>DAY(F95)</f>
        <v>13</v>
      </c>
      <c r="C95" t="str">
        <f>TEXT(F95, "mmmm")</f>
        <v>March</v>
      </c>
      <c r="D95" s="3">
        <f>MONTH(F95)</f>
        <v>3</v>
      </c>
      <c r="E95" s="3">
        <f>YEAR(F95)</f>
        <v>2023</v>
      </c>
      <c r="F95" s="2">
        <v>44998</v>
      </c>
      <c r="G95" s="3" t="s">
        <v>287</v>
      </c>
      <c r="H95" s="3" t="s">
        <v>198</v>
      </c>
      <c r="I95" s="3">
        <v>60</v>
      </c>
      <c r="J95" s="3"/>
      <c r="K95" s="3" t="s">
        <v>195</v>
      </c>
      <c r="L95" s="3">
        <v>3</v>
      </c>
      <c r="M95" s="4">
        <v>50</v>
      </c>
      <c r="N95">
        <f>L95 * M95</f>
        <v>150</v>
      </c>
      <c r="O95" s="15">
        <f>N95 *$R$3</f>
        <v>2.25</v>
      </c>
    </row>
    <row r="96" spans="1:15" ht="15.75">
      <c r="A96" s="3">
        <v>120</v>
      </c>
      <c r="B96">
        <f>DAY(F96)</f>
        <v>7</v>
      </c>
      <c r="C96" t="str">
        <f>TEXT(F96, "mmmm")</f>
        <v>May</v>
      </c>
      <c r="D96" s="3">
        <f>MONTH(F96)</f>
        <v>5</v>
      </c>
      <c r="E96" s="3">
        <f>YEAR(F96)</f>
        <v>2023</v>
      </c>
      <c r="F96" s="2">
        <v>45053</v>
      </c>
      <c r="G96" s="3" t="s">
        <v>52</v>
      </c>
      <c r="H96" s="3" t="s">
        <v>18</v>
      </c>
      <c r="I96" s="3">
        <v>60</v>
      </c>
      <c r="J96" s="3"/>
      <c r="K96" s="3" t="s">
        <v>19</v>
      </c>
      <c r="L96" s="3">
        <v>1</v>
      </c>
      <c r="M96" s="4">
        <v>50</v>
      </c>
      <c r="N96">
        <f>L96 * M96</f>
        <v>50</v>
      </c>
      <c r="O96" s="15">
        <f>N96 *$R$3</f>
        <v>0.75</v>
      </c>
    </row>
    <row r="97" spans="1:15" ht="15.75">
      <c r="A97" s="3">
        <v>165</v>
      </c>
      <c r="B97">
        <f>DAY(F97)</f>
        <v>14</v>
      </c>
      <c r="C97" t="str">
        <f>TEXT(F97, "mmmm")</f>
        <v>September</v>
      </c>
      <c r="D97" s="3">
        <f>MONTH(F97)</f>
        <v>9</v>
      </c>
      <c r="E97" s="3">
        <f>YEAR(F97)</f>
        <v>2023</v>
      </c>
      <c r="F97" s="2">
        <v>45183</v>
      </c>
      <c r="G97" s="3" t="s">
        <v>288</v>
      </c>
      <c r="H97" s="3" t="s">
        <v>198</v>
      </c>
      <c r="I97" s="3">
        <v>60</v>
      </c>
      <c r="J97" s="3"/>
      <c r="K97" s="3" t="s">
        <v>195</v>
      </c>
      <c r="L97" s="3">
        <v>4</v>
      </c>
      <c r="M97" s="4">
        <v>300</v>
      </c>
      <c r="N97">
        <f>L97 * M97</f>
        <v>1200</v>
      </c>
      <c r="O97" s="15">
        <f>N97 *$R$3</f>
        <v>18</v>
      </c>
    </row>
    <row r="98" spans="1:15" ht="15.75">
      <c r="A98" s="3">
        <v>190</v>
      </c>
      <c r="B98">
        <f>DAY(F98)</f>
        <v>4</v>
      </c>
      <c r="C98" t="str">
        <f>TEXT(F98, "mmmm")</f>
        <v>May</v>
      </c>
      <c r="D98" s="3">
        <f>MONTH(F98)</f>
        <v>5</v>
      </c>
      <c r="E98" s="3">
        <f>YEAR(F98)</f>
        <v>2023</v>
      </c>
      <c r="F98" s="2">
        <v>45050</v>
      </c>
      <c r="G98" s="3" t="s">
        <v>289</v>
      </c>
      <c r="H98" s="3" t="s">
        <v>198</v>
      </c>
      <c r="I98" s="3">
        <v>60</v>
      </c>
      <c r="J98" s="3"/>
      <c r="K98" s="3" t="s">
        <v>19</v>
      </c>
      <c r="L98" s="3">
        <v>3</v>
      </c>
      <c r="M98" s="4">
        <v>30</v>
      </c>
      <c r="N98">
        <f>L98 * M98</f>
        <v>90</v>
      </c>
      <c r="O98" s="15">
        <f>N98 *$R$3</f>
        <v>1.3499999999999999</v>
      </c>
    </row>
    <row r="99" spans="1:15" ht="15.75">
      <c r="A99" s="3">
        <v>291</v>
      </c>
      <c r="B99">
        <f>DAY(F99)</f>
        <v>8</v>
      </c>
      <c r="C99" t="str">
        <f>TEXT(F99, "mmmm")</f>
        <v>January</v>
      </c>
      <c r="D99" s="3">
        <f>MONTH(F99)</f>
        <v>1</v>
      </c>
      <c r="E99" s="3">
        <f>YEAR(F99)</f>
        <v>2023</v>
      </c>
      <c r="F99" s="2">
        <v>44934</v>
      </c>
      <c r="G99" s="3" t="s">
        <v>290</v>
      </c>
      <c r="H99" s="3" t="s">
        <v>18</v>
      </c>
      <c r="I99" s="3">
        <v>60</v>
      </c>
      <c r="J99" s="3"/>
      <c r="K99" s="3" t="s">
        <v>195</v>
      </c>
      <c r="L99" s="3">
        <v>2</v>
      </c>
      <c r="M99" s="4">
        <v>300</v>
      </c>
      <c r="N99">
        <f>L99 * M99</f>
        <v>600</v>
      </c>
      <c r="O99" s="15">
        <f>N99 *$R$3</f>
        <v>9</v>
      </c>
    </row>
    <row r="100" spans="1:15" ht="15.75">
      <c r="A100" s="3">
        <v>418</v>
      </c>
      <c r="B100">
        <f>DAY(F100)</f>
        <v>5</v>
      </c>
      <c r="C100" t="str">
        <f>TEXT(F100, "mmmm")</f>
        <v>August</v>
      </c>
      <c r="D100" s="3">
        <f>MONTH(F100)</f>
        <v>8</v>
      </c>
      <c r="E100" s="3">
        <f>YEAR(F100)</f>
        <v>2023</v>
      </c>
      <c r="F100" s="2">
        <v>45143</v>
      </c>
      <c r="G100" s="3" t="s">
        <v>291</v>
      </c>
      <c r="H100" s="3" t="s">
        <v>198</v>
      </c>
      <c r="I100" s="3">
        <v>60</v>
      </c>
      <c r="J100" s="3"/>
      <c r="K100" s="3" t="s">
        <v>196</v>
      </c>
      <c r="L100" s="3">
        <v>2</v>
      </c>
      <c r="M100" s="4">
        <v>500</v>
      </c>
      <c r="N100">
        <f>L100 * M100</f>
        <v>1000</v>
      </c>
      <c r="O100" s="15">
        <f>N100 *$R$3</f>
        <v>15</v>
      </c>
    </row>
    <row r="101" spans="1:15" ht="15.75">
      <c r="A101" s="3">
        <v>432</v>
      </c>
      <c r="B101">
        <f>DAY(F101)</f>
        <v>5</v>
      </c>
      <c r="C101" t="str">
        <f>TEXT(F101, "mmmm")</f>
        <v>January</v>
      </c>
      <c r="D101" s="3">
        <f>MONTH(F101)</f>
        <v>1</v>
      </c>
      <c r="E101" s="3">
        <f>YEAR(F101)</f>
        <v>2023</v>
      </c>
      <c r="F101" s="2">
        <v>44931</v>
      </c>
      <c r="G101" s="3" t="s">
        <v>292</v>
      </c>
      <c r="H101" s="3" t="s">
        <v>198</v>
      </c>
      <c r="I101" s="3">
        <v>60</v>
      </c>
      <c r="J101" s="3"/>
      <c r="K101" s="3" t="s">
        <v>196</v>
      </c>
      <c r="L101" s="3">
        <v>2</v>
      </c>
      <c r="M101" s="4">
        <v>500</v>
      </c>
      <c r="N101">
        <f>L101 * M101</f>
        <v>1000</v>
      </c>
      <c r="O101" s="15">
        <f>N101 *$R$3</f>
        <v>15</v>
      </c>
    </row>
    <row r="102" spans="1:15" ht="15.75">
      <c r="A102" s="3">
        <v>442</v>
      </c>
      <c r="B102">
        <f>DAY(F102)</f>
        <v>17</v>
      </c>
      <c r="C102" t="str">
        <f>TEXT(F102, "mmmm")</f>
        <v>March</v>
      </c>
      <c r="D102" s="3">
        <f>MONTH(F102)</f>
        <v>3</v>
      </c>
      <c r="E102" s="3">
        <f>YEAR(F102)</f>
        <v>2023</v>
      </c>
      <c r="F102" s="2">
        <v>45002</v>
      </c>
      <c r="G102" s="3" t="s">
        <v>293</v>
      </c>
      <c r="H102" s="3" t="s">
        <v>198</v>
      </c>
      <c r="I102" s="3">
        <v>60</v>
      </c>
      <c r="J102" s="3"/>
      <c r="K102" s="3" t="s">
        <v>195</v>
      </c>
      <c r="L102" s="3">
        <v>4</v>
      </c>
      <c r="M102" s="4">
        <v>25</v>
      </c>
      <c r="N102">
        <f>L102 * M102</f>
        <v>100</v>
      </c>
      <c r="O102" s="15">
        <f>N102 *$R$3</f>
        <v>1.5</v>
      </c>
    </row>
    <row r="103" spans="1:15" ht="15.75">
      <c r="A103" s="3">
        <v>491</v>
      </c>
      <c r="B103">
        <f>DAY(F103)</f>
        <v>23</v>
      </c>
      <c r="C103" t="str">
        <f>TEXT(F103, "mmmm")</f>
        <v>May</v>
      </c>
      <c r="D103" s="3">
        <f>MONTH(F103)</f>
        <v>5</v>
      </c>
      <c r="E103" s="3">
        <f>YEAR(F103)</f>
        <v>2023</v>
      </c>
      <c r="F103" s="2">
        <v>45069</v>
      </c>
      <c r="G103" s="3" t="s">
        <v>294</v>
      </c>
      <c r="H103" s="3" t="s">
        <v>198</v>
      </c>
      <c r="I103" s="3">
        <v>60</v>
      </c>
      <c r="J103" s="3"/>
      <c r="K103" s="3" t="s">
        <v>196</v>
      </c>
      <c r="L103" s="3">
        <v>3</v>
      </c>
      <c r="M103" s="4">
        <v>300</v>
      </c>
      <c r="N103">
        <f>L103 * M103</f>
        <v>900</v>
      </c>
      <c r="O103" s="15">
        <f>N103 *$R$3</f>
        <v>13.5</v>
      </c>
    </row>
    <row r="104" spans="1:15" ht="15.75">
      <c r="A104" s="3">
        <v>500</v>
      </c>
      <c r="B104">
        <f>DAY(F104)</f>
        <v>1</v>
      </c>
      <c r="C104" t="str">
        <f>TEXT(F104, "mmmm")</f>
        <v>March</v>
      </c>
      <c r="D104" s="3">
        <f>MONTH(F104)</f>
        <v>3</v>
      </c>
      <c r="E104" s="3">
        <f>YEAR(F104)</f>
        <v>2023</v>
      </c>
      <c r="F104" s="2">
        <v>44986</v>
      </c>
      <c r="G104" s="3" t="s">
        <v>295</v>
      </c>
      <c r="H104" s="3" t="s">
        <v>198</v>
      </c>
      <c r="I104" s="3">
        <v>60</v>
      </c>
      <c r="J104" s="3"/>
      <c r="K104" s="3" t="s">
        <v>19</v>
      </c>
      <c r="L104" s="3">
        <v>4</v>
      </c>
      <c r="M104" s="4">
        <v>25</v>
      </c>
      <c r="N104">
        <f>L104 * M104</f>
        <v>100</v>
      </c>
      <c r="O104" s="15">
        <f>N104 *$R$3</f>
        <v>1.5</v>
      </c>
    </row>
    <row r="105" spans="1:15" ht="15.75">
      <c r="A105" s="3">
        <v>575</v>
      </c>
      <c r="B105">
        <f>DAY(F105)</f>
        <v>28</v>
      </c>
      <c r="C105" t="str">
        <f>TEXT(F105, "mmmm")</f>
        <v>March</v>
      </c>
      <c r="D105" s="3">
        <f>MONTH(F105)</f>
        <v>3</v>
      </c>
      <c r="E105" s="3">
        <f>YEAR(F105)</f>
        <v>2023</v>
      </c>
      <c r="F105" s="2">
        <v>45013</v>
      </c>
      <c r="G105" s="3" t="s">
        <v>296</v>
      </c>
      <c r="H105" s="3" t="s">
        <v>18</v>
      </c>
      <c r="I105" s="3">
        <v>60</v>
      </c>
      <c r="J105" s="3"/>
      <c r="K105" s="3" t="s">
        <v>195</v>
      </c>
      <c r="L105" s="3">
        <v>2</v>
      </c>
      <c r="M105" s="4">
        <v>50</v>
      </c>
      <c r="N105">
        <f>L105 * M105</f>
        <v>100</v>
      </c>
      <c r="O105" s="15">
        <f>N105 *$R$3</f>
        <v>1.5</v>
      </c>
    </row>
    <row r="106" spans="1:15" ht="15.75">
      <c r="A106" s="3">
        <v>634</v>
      </c>
      <c r="B106">
        <f>DAY(F106)</f>
        <v>8</v>
      </c>
      <c r="C106" t="str">
        <f>TEXT(F106, "mmmm")</f>
        <v>October</v>
      </c>
      <c r="D106" s="3">
        <f>MONTH(F106)</f>
        <v>10</v>
      </c>
      <c r="E106" s="3">
        <f>YEAR(F106)</f>
        <v>2023</v>
      </c>
      <c r="F106" s="2">
        <v>45207</v>
      </c>
      <c r="G106" s="3" t="s">
        <v>297</v>
      </c>
      <c r="H106" s="3" t="s">
        <v>18</v>
      </c>
      <c r="I106" s="3">
        <v>60</v>
      </c>
      <c r="J106" s="3"/>
      <c r="K106" s="3" t="s">
        <v>196</v>
      </c>
      <c r="L106" s="3">
        <v>4</v>
      </c>
      <c r="M106" s="4">
        <v>500</v>
      </c>
      <c r="N106">
        <f>L106 * M106</f>
        <v>2000</v>
      </c>
      <c r="O106" s="15">
        <f>N106 *$R$3</f>
        <v>30</v>
      </c>
    </row>
    <row r="107" spans="1:15" ht="15.75">
      <c r="A107" s="3">
        <v>678</v>
      </c>
      <c r="B107">
        <f>DAY(F107)</f>
        <v>23</v>
      </c>
      <c r="C107" t="str">
        <f>TEXT(F107, "mmmm")</f>
        <v>December</v>
      </c>
      <c r="D107" s="3">
        <f>MONTH(F107)</f>
        <v>12</v>
      </c>
      <c r="E107" s="3">
        <f>YEAR(F107)</f>
        <v>2023</v>
      </c>
      <c r="F107" s="2">
        <v>45283</v>
      </c>
      <c r="G107" s="3" t="s">
        <v>298</v>
      </c>
      <c r="H107" s="3" t="s">
        <v>198</v>
      </c>
      <c r="I107" s="3">
        <v>60</v>
      </c>
      <c r="J107" s="3"/>
      <c r="K107" s="3" t="s">
        <v>196</v>
      </c>
      <c r="L107" s="3">
        <v>3</v>
      </c>
      <c r="M107" s="4">
        <v>300</v>
      </c>
      <c r="N107">
        <f>L107 * M107</f>
        <v>900</v>
      </c>
      <c r="O107" s="15">
        <f>N107 *$R$3</f>
        <v>13.5</v>
      </c>
    </row>
    <row r="108" spans="1:15" ht="15.75">
      <c r="A108" s="3">
        <v>702</v>
      </c>
      <c r="B108">
        <f>DAY(F108)</f>
        <v>27</v>
      </c>
      <c r="C108" t="str">
        <f>TEXT(F108, "mmmm")</f>
        <v>July</v>
      </c>
      <c r="D108" s="3">
        <f>MONTH(F108)</f>
        <v>7</v>
      </c>
      <c r="E108" s="3">
        <f>YEAR(F108)</f>
        <v>2023</v>
      </c>
      <c r="F108" s="2">
        <v>45134</v>
      </c>
      <c r="G108" s="3" t="s">
        <v>299</v>
      </c>
      <c r="H108" s="3" t="s">
        <v>198</v>
      </c>
      <c r="I108" s="3">
        <v>60</v>
      </c>
      <c r="J108" s="3"/>
      <c r="K108" s="3" t="s">
        <v>195</v>
      </c>
      <c r="L108" s="3">
        <v>2</v>
      </c>
      <c r="M108" s="4">
        <v>300</v>
      </c>
      <c r="N108">
        <f>L108 * M108</f>
        <v>600</v>
      </c>
      <c r="O108" s="15">
        <f>N108 *$R$3</f>
        <v>9</v>
      </c>
    </row>
    <row r="109" spans="1:15" ht="15.75">
      <c r="A109" s="3">
        <v>705</v>
      </c>
      <c r="B109">
        <f>DAY(F109)</f>
        <v>7</v>
      </c>
      <c r="C109" t="str">
        <f>TEXT(F109, "mmmm")</f>
        <v>March</v>
      </c>
      <c r="D109" s="3">
        <f>MONTH(F109)</f>
        <v>3</v>
      </c>
      <c r="E109" s="3">
        <f>YEAR(F109)</f>
        <v>2023</v>
      </c>
      <c r="F109" s="2">
        <v>44992</v>
      </c>
      <c r="G109" s="3" t="s">
        <v>300</v>
      </c>
      <c r="H109" s="3" t="s">
        <v>18</v>
      </c>
      <c r="I109" s="3">
        <v>60</v>
      </c>
      <c r="J109" s="3"/>
      <c r="K109" s="3" t="s">
        <v>196</v>
      </c>
      <c r="L109" s="3">
        <v>2</v>
      </c>
      <c r="M109" s="4">
        <v>25</v>
      </c>
      <c r="N109">
        <f>L109 * M109</f>
        <v>50</v>
      </c>
      <c r="O109" s="15">
        <f>N109 *$R$3</f>
        <v>0.75</v>
      </c>
    </row>
    <row r="110" spans="1:15" ht="15.75">
      <c r="A110" s="3">
        <v>716</v>
      </c>
      <c r="B110">
        <f>DAY(F110)</f>
        <v>8</v>
      </c>
      <c r="C110" t="str">
        <f>TEXT(F110, "mmmm")</f>
        <v>August</v>
      </c>
      <c r="D110" s="3">
        <f>MONTH(F110)</f>
        <v>8</v>
      </c>
      <c r="E110" s="3">
        <f>YEAR(F110)</f>
        <v>2023</v>
      </c>
      <c r="F110" s="2">
        <v>45146</v>
      </c>
      <c r="G110" s="3" t="s">
        <v>301</v>
      </c>
      <c r="H110" s="3" t="s">
        <v>198</v>
      </c>
      <c r="I110" s="3">
        <v>60</v>
      </c>
      <c r="J110" s="3"/>
      <c r="K110" s="3" t="s">
        <v>195</v>
      </c>
      <c r="L110" s="3">
        <v>4</v>
      </c>
      <c r="M110" s="4">
        <v>300</v>
      </c>
      <c r="N110">
        <f>L110 * M110</f>
        <v>1200</v>
      </c>
      <c r="O110" s="15">
        <f>N110 *$R$3</f>
        <v>18</v>
      </c>
    </row>
    <row r="111" spans="1:15" ht="15.75">
      <c r="A111" s="3">
        <v>794</v>
      </c>
      <c r="B111">
        <f>DAY(F111)</f>
        <v>17</v>
      </c>
      <c r="C111" t="str">
        <f>TEXT(F111, "mmmm")</f>
        <v>September</v>
      </c>
      <c r="D111" s="3">
        <f>MONTH(F111)</f>
        <v>9</v>
      </c>
      <c r="E111" s="3">
        <f>YEAR(F111)</f>
        <v>2023</v>
      </c>
      <c r="F111" s="2">
        <v>45186</v>
      </c>
      <c r="G111" s="3" t="s">
        <v>302</v>
      </c>
      <c r="H111" s="3" t="s">
        <v>198</v>
      </c>
      <c r="I111" s="3">
        <v>60</v>
      </c>
      <c r="J111" s="3"/>
      <c r="K111" s="3" t="s">
        <v>19</v>
      </c>
      <c r="L111" s="3">
        <v>1</v>
      </c>
      <c r="M111" s="4">
        <v>300</v>
      </c>
      <c r="N111">
        <f>L111 * M111</f>
        <v>300</v>
      </c>
      <c r="O111" s="15">
        <f>N111 *$R$3</f>
        <v>4.5</v>
      </c>
    </row>
    <row r="112" spans="1:15" ht="15.75">
      <c r="A112" s="3">
        <v>857</v>
      </c>
      <c r="B112">
        <f>DAY(F112)</f>
        <v>31</v>
      </c>
      <c r="C112" t="str">
        <f>TEXT(F112, "mmmm")</f>
        <v>December</v>
      </c>
      <c r="D112" s="3">
        <f>MONTH(F112)</f>
        <v>12</v>
      </c>
      <c r="E112" s="3">
        <f>YEAR(F112)</f>
        <v>2023</v>
      </c>
      <c r="F112" s="2">
        <v>45291</v>
      </c>
      <c r="G112" s="3" t="s">
        <v>303</v>
      </c>
      <c r="H112" s="3" t="s">
        <v>18</v>
      </c>
      <c r="I112" s="3">
        <v>60</v>
      </c>
      <c r="J112" s="3"/>
      <c r="K112" s="3" t="s">
        <v>196</v>
      </c>
      <c r="L112" s="3">
        <v>2</v>
      </c>
      <c r="M112" s="4">
        <v>25</v>
      </c>
      <c r="N112">
        <f>L112 * M112</f>
        <v>50</v>
      </c>
      <c r="O112" s="15">
        <f>N112 *$R$3</f>
        <v>0.75</v>
      </c>
    </row>
    <row r="113" spans="1:15" ht="15.75">
      <c r="A113" s="3">
        <v>874</v>
      </c>
      <c r="B113">
        <f>DAY(F113)</f>
        <v>26</v>
      </c>
      <c r="C113" t="str">
        <f>TEXT(F113, "mmmm")</f>
        <v>June</v>
      </c>
      <c r="D113" s="3">
        <f>MONTH(F113)</f>
        <v>6</v>
      </c>
      <c r="E113" s="3">
        <f>YEAR(F113)</f>
        <v>2023</v>
      </c>
      <c r="F113" s="2">
        <v>45103</v>
      </c>
      <c r="G113" s="3" t="s">
        <v>35</v>
      </c>
      <c r="H113" s="3" t="s">
        <v>18</v>
      </c>
      <c r="I113" s="3">
        <v>60</v>
      </c>
      <c r="J113" s="3"/>
      <c r="K113" s="3" t="s">
        <v>19</v>
      </c>
      <c r="L113" s="3">
        <v>1</v>
      </c>
      <c r="M113" s="4">
        <v>30</v>
      </c>
      <c r="N113">
        <f>L113 * M113</f>
        <v>30</v>
      </c>
      <c r="O113" s="15">
        <f>N113 *$R$3</f>
        <v>0.44999999999999996</v>
      </c>
    </row>
    <row r="114" spans="1:15" ht="15.75">
      <c r="A114" s="3">
        <v>957</v>
      </c>
      <c r="B114">
        <f>DAY(F114)</f>
        <v>15</v>
      </c>
      <c r="C114" t="str">
        <f>TEXT(F114, "mmmm")</f>
        <v>August</v>
      </c>
      <c r="D114" s="3">
        <f>MONTH(F114)</f>
        <v>8</v>
      </c>
      <c r="E114" s="3">
        <f>YEAR(F114)</f>
        <v>2023</v>
      </c>
      <c r="F114" s="2">
        <v>45153</v>
      </c>
      <c r="G114" s="3" t="s">
        <v>304</v>
      </c>
      <c r="H114" s="3" t="s">
        <v>198</v>
      </c>
      <c r="I114" s="3">
        <v>60</v>
      </c>
      <c r="J114" s="3"/>
      <c r="K114" s="3" t="s">
        <v>196</v>
      </c>
      <c r="L114" s="3">
        <v>4</v>
      </c>
      <c r="M114" s="4">
        <v>30</v>
      </c>
      <c r="N114">
        <f>L114 * M114</f>
        <v>120</v>
      </c>
      <c r="O114" s="15">
        <f>N114 *$R$3</f>
        <v>1.7999999999999998</v>
      </c>
    </row>
    <row r="115" spans="1:15" ht="15.75">
      <c r="A115" s="3">
        <v>966</v>
      </c>
      <c r="B115">
        <f>DAY(F115)</f>
        <v>20</v>
      </c>
      <c r="C115" t="str">
        <f>TEXT(F115, "mmmm")</f>
        <v>February</v>
      </c>
      <c r="D115" s="3">
        <f>MONTH(F115)</f>
        <v>2</v>
      </c>
      <c r="E115" s="3">
        <f>YEAR(F115)</f>
        <v>2023</v>
      </c>
      <c r="F115" s="2">
        <v>44977</v>
      </c>
      <c r="G115" s="3" t="s">
        <v>305</v>
      </c>
      <c r="H115" s="3" t="s">
        <v>18</v>
      </c>
      <c r="I115" s="3">
        <v>60</v>
      </c>
      <c r="J115" s="3"/>
      <c r="K115" s="3" t="s">
        <v>196</v>
      </c>
      <c r="L115" s="3">
        <v>2</v>
      </c>
      <c r="M115" s="4">
        <v>500</v>
      </c>
      <c r="N115">
        <f>L115 * M115</f>
        <v>1000</v>
      </c>
      <c r="O115" s="15">
        <f>N115 *$R$3</f>
        <v>15</v>
      </c>
    </row>
    <row r="116" spans="1:15" ht="15.75">
      <c r="A116" s="3">
        <v>973</v>
      </c>
      <c r="B116">
        <f>DAY(F116)</f>
        <v>22</v>
      </c>
      <c r="C116" t="str">
        <f>TEXT(F116, "mmmm")</f>
        <v>March</v>
      </c>
      <c r="D116" s="3">
        <f>MONTH(F116)</f>
        <v>3</v>
      </c>
      <c r="E116" s="3">
        <f>YEAR(F116)</f>
        <v>2023</v>
      </c>
      <c r="F116" s="2">
        <v>45007</v>
      </c>
      <c r="G116" s="3" t="s">
        <v>306</v>
      </c>
      <c r="H116" s="3" t="s">
        <v>18</v>
      </c>
      <c r="I116" s="3">
        <v>60</v>
      </c>
      <c r="J116" s="3"/>
      <c r="K116" s="3" t="s">
        <v>195</v>
      </c>
      <c r="L116" s="3">
        <v>1</v>
      </c>
      <c r="M116" s="4">
        <v>50</v>
      </c>
      <c r="N116">
        <f>L116 * M116</f>
        <v>50</v>
      </c>
      <c r="O116" s="15">
        <f>N116 *$R$3</f>
        <v>0.75</v>
      </c>
    </row>
    <row r="117" spans="1:15" ht="15.75">
      <c r="A117" s="3">
        <v>103</v>
      </c>
      <c r="B117">
        <f>DAY(F117)</f>
        <v>17</v>
      </c>
      <c r="C117" t="str">
        <f>TEXT(F117, "mmmm")</f>
        <v>January</v>
      </c>
      <c r="D117" s="3">
        <f>MONTH(F117)</f>
        <v>1</v>
      </c>
      <c r="E117" s="3">
        <f>YEAR(F117)</f>
        <v>2023</v>
      </c>
      <c r="F117" s="2">
        <v>44943</v>
      </c>
      <c r="G117" s="3" t="s">
        <v>307</v>
      </c>
      <c r="H117" s="3" t="s">
        <v>198</v>
      </c>
      <c r="I117" s="3">
        <v>59</v>
      </c>
      <c r="J117" s="3"/>
      <c r="K117" s="3" t="s">
        <v>195</v>
      </c>
      <c r="L117" s="3">
        <v>1</v>
      </c>
      <c r="M117" s="4">
        <v>25</v>
      </c>
      <c r="N117">
        <f>L117 * M117</f>
        <v>25</v>
      </c>
      <c r="O117" s="15">
        <f>N117 *$R$3</f>
        <v>0.375</v>
      </c>
    </row>
    <row r="118" spans="1:15" ht="15.75">
      <c r="A118" s="3">
        <v>144</v>
      </c>
      <c r="B118">
        <f>DAY(F118)</f>
        <v>15</v>
      </c>
      <c r="C118" t="str">
        <f>TEXT(F118, "mmmm")</f>
        <v>July</v>
      </c>
      <c r="D118" s="3">
        <f>MONTH(F118)</f>
        <v>7</v>
      </c>
      <c r="E118" s="3">
        <f>YEAR(F118)</f>
        <v>2023</v>
      </c>
      <c r="F118" s="2">
        <v>45122</v>
      </c>
      <c r="G118" s="3" t="s">
        <v>308</v>
      </c>
      <c r="H118" s="3" t="s">
        <v>198</v>
      </c>
      <c r="I118" s="3">
        <v>59</v>
      </c>
      <c r="J118" s="3"/>
      <c r="K118" s="3" t="s">
        <v>19</v>
      </c>
      <c r="L118" s="3">
        <v>3</v>
      </c>
      <c r="M118" s="4">
        <v>500</v>
      </c>
      <c r="N118">
        <f>L118 * M118</f>
        <v>1500</v>
      </c>
      <c r="O118" s="15">
        <f>N118 *$R$3</f>
        <v>22.5</v>
      </c>
    </row>
    <row r="119" spans="1:15" ht="15.75">
      <c r="A119" s="3">
        <v>228</v>
      </c>
      <c r="B119">
        <f>DAY(F119)</f>
        <v>28</v>
      </c>
      <c r="C119" t="str">
        <f>TEXT(F119, "mmmm")</f>
        <v>April</v>
      </c>
      <c r="D119" s="3">
        <f>MONTH(F119)</f>
        <v>4</v>
      </c>
      <c r="E119" s="3">
        <f>YEAR(F119)</f>
        <v>2023</v>
      </c>
      <c r="F119" s="2">
        <v>45044</v>
      </c>
      <c r="G119" s="3" t="s">
        <v>309</v>
      </c>
      <c r="H119" s="3" t="s">
        <v>198</v>
      </c>
      <c r="I119" s="3">
        <v>59</v>
      </c>
      <c r="J119" s="3"/>
      <c r="K119" s="3" t="s">
        <v>196</v>
      </c>
      <c r="L119" s="3">
        <v>2</v>
      </c>
      <c r="M119" s="4">
        <v>30</v>
      </c>
      <c r="N119">
        <f>L119 * M119</f>
        <v>60</v>
      </c>
      <c r="O119" s="15">
        <f>N119 *$R$3</f>
        <v>0.89999999999999991</v>
      </c>
    </row>
    <row r="120" spans="1:15" ht="15.75">
      <c r="A120" s="3">
        <v>346</v>
      </c>
      <c r="B120">
        <f>DAY(F120)</f>
        <v>11</v>
      </c>
      <c r="C120" t="str">
        <f>TEXT(F120, "mmmm")</f>
        <v>February</v>
      </c>
      <c r="D120" s="3">
        <f>MONTH(F120)</f>
        <v>2</v>
      </c>
      <c r="E120" s="3">
        <f>YEAR(F120)</f>
        <v>2023</v>
      </c>
      <c r="F120" s="2">
        <v>44968</v>
      </c>
      <c r="G120" s="3" t="s">
        <v>310</v>
      </c>
      <c r="H120" s="3" t="s">
        <v>18</v>
      </c>
      <c r="I120" s="3">
        <v>59</v>
      </c>
      <c r="J120" s="3"/>
      <c r="K120" s="3" t="s">
        <v>195</v>
      </c>
      <c r="L120" s="3">
        <v>2</v>
      </c>
      <c r="M120" s="4">
        <v>500</v>
      </c>
      <c r="N120">
        <f>L120 * M120</f>
        <v>1000</v>
      </c>
      <c r="O120" s="15">
        <f>N120 *$R$3</f>
        <v>15</v>
      </c>
    </row>
    <row r="121" spans="1:15" ht="15.75">
      <c r="A121" s="3">
        <v>374</v>
      </c>
      <c r="B121">
        <f>DAY(F121)</f>
        <v>20</v>
      </c>
      <c r="C121" t="str">
        <f>TEXT(F121, "mmmm")</f>
        <v>April</v>
      </c>
      <c r="D121" s="3">
        <f>MONTH(F121)</f>
        <v>4</v>
      </c>
      <c r="E121" s="3">
        <f>YEAR(F121)</f>
        <v>2023</v>
      </c>
      <c r="F121" s="2">
        <v>45036</v>
      </c>
      <c r="G121" s="3" t="s">
        <v>311</v>
      </c>
      <c r="H121" s="3" t="s">
        <v>198</v>
      </c>
      <c r="I121" s="3">
        <v>59</v>
      </c>
      <c r="J121" s="3"/>
      <c r="K121" s="3" t="s">
        <v>19</v>
      </c>
      <c r="L121" s="3">
        <v>3</v>
      </c>
      <c r="M121" s="4">
        <v>25</v>
      </c>
      <c r="N121">
        <f>L121 * M121</f>
        <v>75</v>
      </c>
      <c r="O121" s="15">
        <f>N121 *$R$3</f>
        <v>1.125</v>
      </c>
    </row>
    <row r="122" spans="1:15" ht="15.75">
      <c r="A122" s="3">
        <v>450</v>
      </c>
      <c r="B122">
        <f>DAY(F122)</f>
        <v>18</v>
      </c>
      <c r="C122" t="str">
        <f>TEXT(F122, "mmmm")</f>
        <v>April</v>
      </c>
      <c r="D122" s="3">
        <f>MONTH(F122)</f>
        <v>4</v>
      </c>
      <c r="E122" s="3">
        <f>YEAR(F122)</f>
        <v>2023</v>
      </c>
      <c r="F122" s="2">
        <v>45034</v>
      </c>
      <c r="G122" s="3" t="s">
        <v>312</v>
      </c>
      <c r="H122" s="3" t="s">
        <v>198</v>
      </c>
      <c r="I122" s="3">
        <v>59</v>
      </c>
      <c r="J122" s="3"/>
      <c r="K122" s="3" t="s">
        <v>19</v>
      </c>
      <c r="L122" s="3">
        <v>2</v>
      </c>
      <c r="M122" s="4">
        <v>25</v>
      </c>
      <c r="N122">
        <f>L122 * M122</f>
        <v>50</v>
      </c>
      <c r="O122" s="15">
        <f>N122 *$R$3</f>
        <v>0.75</v>
      </c>
    </row>
    <row r="123" spans="1:15" ht="15.75">
      <c r="A123" s="3">
        <v>600</v>
      </c>
      <c r="B123">
        <f>DAY(F123)</f>
        <v>22</v>
      </c>
      <c r="C123" t="str">
        <f>TEXT(F123, "mmmm")</f>
        <v>October</v>
      </c>
      <c r="D123" s="3">
        <f>MONTH(F123)</f>
        <v>10</v>
      </c>
      <c r="E123" s="3">
        <f>YEAR(F123)</f>
        <v>2023</v>
      </c>
      <c r="F123" s="2">
        <v>45221</v>
      </c>
      <c r="G123" s="3" t="s">
        <v>313</v>
      </c>
      <c r="H123" s="3" t="s">
        <v>198</v>
      </c>
      <c r="I123" s="3">
        <v>59</v>
      </c>
      <c r="J123" s="3"/>
      <c r="K123" s="3" t="s">
        <v>19</v>
      </c>
      <c r="L123" s="3">
        <v>2</v>
      </c>
      <c r="M123" s="4">
        <v>500</v>
      </c>
      <c r="N123">
        <f>L123 * M123</f>
        <v>1000</v>
      </c>
      <c r="O123" s="15">
        <f>N123 *$R$3</f>
        <v>15</v>
      </c>
    </row>
    <row r="124" spans="1:15" ht="15.75">
      <c r="A124" s="3">
        <v>647</v>
      </c>
      <c r="B124">
        <f>DAY(F124)</f>
        <v>21</v>
      </c>
      <c r="C124" t="str">
        <f>TEXT(F124, "mmmm")</f>
        <v>May</v>
      </c>
      <c r="D124" s="3">
        <f>MONTH(F124)</f>
        <v>5</v>
      </c>
      <c r="E124" s="3">
        <f>YEAR(F124)</f>
        <v>2023</v>
      </c>
      <c r="F124" s="2">
        <v>45067</v>
      </c>
      <c r="G124" s="3" t="s">
        <v>314</v>
      </c>
      <c r="H124" s="3" t="s">
        <v>18</v>
      </c>
      <c r="I124" s="3">
        <v>59</v>
      </c>
      <c r="J124" s="3"/>
      <c r="K124" s="3" t="s">
        <v>195</v>
      </c>
      <c r="L124" s="3">
        <v>3</v>
      </c>
      <c r="M124" s="4">
        <v>500</v>
      </c>
      <c r="N124">
        <f>L124 * M124</f>
        <v>1500</v>
      </c>
      <c r="O124" s="15">
        <f>N124 *$R$3</f>
        <v>22.5</v>
      </c>
    </row>
    <row r="125" spans="1:15" ht="15.75">
      <c r="A125" s="3">
        <v>658</v>
      </c>
      <c r="B125">
        <f>DAY(F125)</f>
        <v>12</v>
      </c>
      <c r="C125" t="str">
        <f>TEXT(F125, "mmmm")</f>
        <v>March</v>
      </c>
      <c r="D125" s="3">
        <f>MONTH(F125)</f>
        <v>3</v>
      </c>
      <c r="E125" s="3">
        <f>YEAR(F125)</f>
        <v>2023</v>
      </c>
      <c r="F125" s="2">
        <v>44997</v>
      </c>
      <c r="G125" s="3" t="s">
        <v>315</v>
      </c>
      <c r="H125" s="3" t="s">
        <v>18</v>
      </c>
      <c r="I125" s="3">
        <v>59</v>
      </c>
      <c r="J125" s="3"/>
      <c r="K125" s="3" t="s">
        <v>195</v>
      </c>
      <c r="L125" s="3">
        <v>1</v>
      </c>
      <c r="M125" s="4">
        <v>25</v>
      </c>
      <c r="N125">
        <f>L125 * M125</f>
        <v>25</v>
      </c>
      <c r="O125" s="15">
        <f>N125 *$R$3</f>
        <v>0.375</v>
      </c>
    </row>
    <row r="126" spans="1:15" ht="15.75">
      <c r="A126" s="3">
        <v>718</v>
      </c>
      <c r="B126">
        <f>DAY(F126)</f>
        <v>25</v>
      </c>
      <c r="C126" t="str">
        <f>TEXT(F126, "mmmm")</f>
        <v>August</v>
      </c>
      <c r="D126" s="3">
        <f>MONTH(F126)</f>
        <v>8</v>
      </c>
      <c r="E126" s="3">
        <f>YEAR(F126)</f>
        <v>2023</v>
      </c>
      <c r="F126" s="2">
        <v>45163</v>
      </c>
      <c r="G126" s="3" t="s">
        <v>316</v>
      </c>
      <c r="H126" s="3" t="s">
        <v>198</v>
      </c>
      <c r="I126" s="3">
        <v>59</v>
      </c>
      <c r="J126" s="3"/>
      <c r="K126" s="3" t="s">
        <v>19</v>
      </c>
      <c r="L126" s="3">
        <v>3</v>
      </c>
      <c r="M126" s="4">
        <v>25</v>
      </c>
      <c r="N126">
        <f>L126 * M126</f>
        <v>75</v>
      </c>
      <c r="O126" s="15">
        <f>N126 *$R$3</f>
        <v>1.125</v>
      </c>
    </row>
    <row r="127" spans="1:15" ht="15.75">
      <c r="A127" s="3">
        <v>782</v>
      </c>
      <c r="B127">
        <f>DAY(F127)</f>
        <v>4</v>
      </c>
      <c r="C127" t="str">
        <f>TEXT(F127, "mmmm")</f>
        <v>June</v>
      </c>
      <c r="D127" s="3">
        <f>MONTH(F127)</f>
        <v>6</v>
      </c>
      <c r="E127" s="3">
        <f>YEAR(F127)</f>
        <v>2023</v>
      </c>
      <c r="F127" s="2">
        <v>45081</v>
      </c>
      <c r="G127" s="3" t="s">
        <v>317</v>
      </c>
      <c r="H127" s="3" t="s">
        <v>18</v>
      </c>
      <c r="I127" s="3">
        <v>59</v>
      </c>
      <c r="J127" s="3"/>
      <c r="K127" s="3" t="s">
        <v>195</v>
      </c>
      <c r="L127" s="3">
        <v>3</v>
      </c>
      <c r="M127" s="4">
        <v>300</v>
      </c>
      <c r="N127">
        <f>L127 * M127</f>
        <v>900</v>
      </c>
      <c r="O127" s="15">
        <f>N127 *$R$3</f>
        <v>13.5</v>
      </c>
    </row>
    <row r="128" spans="1:15" ht="15.75">
      <c r="A128" s="3">
        <v>810</v>
      </c>
      <c r="B128">
        <f>DAY(F128)</f>
        <v>30</v>
      </c>
      <c r="C128" t="str">
        <f>TEXT(F128, "mmmm")</f>
        <v>November</v>
      </c>
      <c r="D128" s="3">
        <f>MONTH(F128)</f>
        <v>11</v>
      </c>
      <c r="E128" s="3">
        <f>YEAR(F128)</f>
        <v>2023</v>
      </c>
      <c r="F128" s="2">
        <v>45260</v>
      </c>
      <c r="G128" s="3" t="s">
        <v>318</v>
      </c>
      <c r="H128" s="3" t="s">
        <v>18</v>
      </c>
      <c r="I128" s="3">
        <v>59</v>
      </c>
      <c r="J128" s="3"/>
      <c r="K128" s="3" t="s">
        <v>196</v>
      </c>
      <c r="L128" s="3">
        <v>4</v>
      </c>
      <c r="M128" s="4">
        <v>25</v>
      </c>
      <c r="N128">
        <f>L128 * M128</f>
        <v>100</v>
      </c>
      <c r="O128" s="15">
        <f>N128 *$R$3</f>
        <v>1.5</v>
      </c>
    </row>
    <row r="129" spans="1:15" ht="15.75">
      <c r="A129" s="3">
        <v>814</v>
      </c>
      <c r="B129">
        <f>DAY(F129)</f>
        <v>5</v>
      </c>
      <c r="C129" t="str">
        <f>TEXT(F129, "mmmm")</f>
        <v>September</v>
      </c>
      <c r="D129" s="3">
        <f>MONTH(F129)</f>
        <v>9</v>
      </c>
      <c r="E129" s="3">
        <f>YEAR(F129)</f>
        <v>2023</v>
      </c>
      <c r="F129" s="2">
        <v>45174</v>
      </c>
      <c r="G129" s="3" t="s">
        <v>319</v>
      </c>
      <c r="H129" s="3" t="s">
        <v>198</v>
      </c>
      <c r="I129" s="3">
        <v>59</v>
      </c>
      <c r="J129" s="3"/>
      <c r="K129" s="3" t="s">
        <v>195</v>
      </c>
      <c r="L129" s="3">
        <v>1</v>
      </c>
      <c r="M129" s="4">
        <v>500</v>
      </c>
      <c r="N129">
        <f>L129 * M129</f>
        <v>500</v>
      </c>
      <c r="O129" s="15">
        <f>N129 *$R$3</f>
        <v>7.5</v>
      </c>
    </row>
    <row r="130" spans="1:15" ht="15.75">
      <c r="A130" s="3">
        <v>887</v>
      </c>
      <c r="B130">
        <f>DAY(F130)</f>
        <v>11</v>
      </c>
      <c r="C130" t="str">
        <f>TEXT(F130, "mmmm")</f>
        <v>June</v>
      </c>
      <c r="D130" s="3">
        <f>MONTH(F130)</f>
        <v>6</v>
      </c>
      <c r="E130" s="3">
        <f>YEAR(F130)</f>
        <v>2023</v>
      </c>
      <c r="F130" s="2">
        <v>45088</v>
      </c>
      <c r="G130" s="3" t="s">
        <v>320</v>
      </c>
      <c r="H130" s="3" t="s">
        <v>18</v>
      </c>
      <c r="I130" s="3">
        <v>59</v>
      </c>
      <c r="J130" s="3"/>
      <c r="K130" s="3" t="s">
        <v>195</v>
      </c>
      <c r="L130" s="3">
        <v>4</v>
      </c>
      <c r="M130" s="4">
        <v>25</v>
      </c>
      <c r="N130">
        <f>L130 * M130</f>
        <v>100</v>
      </c>
      <c r="O130" s="15">
        <f>N130 *$R$3</f>
        <v>1.5</v>
      </c>
    </row>
    <row r="131" spans="1:15" ht="15.75">
      <c r="A131" s="3">
        <v>914</v>
      </c>
      <c r="B131">
        <f>DAY(F131)</f>
        <v>11</v>
      </c>
      <c r="C131" t="str">
        <f>TEXT(F131, "mmmm")</f>
        <v>October</v>
      </c>
      <c r="D131" s="3">
        <f>MONTH(F131)</f>
        <v>10</v>
      </c>
      <c r="E131" s="3">
        <f>YEAR(F131)</f>
        <v>2023</v>
      </c>
      <c r="F131" s="2">
        <v>45210</v>
      </c>
      <c r="G131" s="3" t="s">
        <v>321</v>
      </c>
      <c r="H131" s="3" t="s">
        <v>198</v>
      </c>
      <c r="I131" s="3">
        <v>59</v>
      </c>
      <c r="J131" s="3"/>
      <c r="K131" s="3" t="s">
        <v>196</v>
      </c>
      <c r="L131" s="3">
        <v>1</v>
      </c>
      <c r="M131" s="4">
        <v>500</v>
      </c>
      <c r="N131">
        <f>L131 * M131</f>
        <v>500</v>
      </c>
      <c r="O131" s="15">
        <f>N131 *$R$3</f>
        <v>7.5</v>
      </c>
    </row>
    <row r="132" spans="1:15" ht="15.75">
      <c r="A132" s="3">
        <v>960</v>
      </c>
      <c r="B132">
        <f>DAY(F132)</f>
        <v>8</v>
      </c>
      <c r="C132" t="str">
        <f>TEXT(F132, "mmmm")</f>
        <v>August</v>
      </c>
      <c r="D132" s="3">
        <f>MONTH(F132)</f>
        <v>8</v>
      </c>
      <c r="E132" s="3">
        <f>YEAR(F132)</f>
        <v>2023</v>
      </c>
      <c r="F132" s="2">
        <v>45146</v>
      </c>
      <c r="G132" s="3" t="s">
        <v>322</v>
      </c>
      <c r="H132" s="3" t="s">
        <v>18</v>
      </c>
      <c r="I132" s="3">
        <v>59</v>
      </c>
      <c r="J132" s="3"/>
      <c r="K132" s="3" t="s">
        <v>195</v>
      </c>
      <c r="L132" s="3">
        <v>2</v>
      </c>
      <c r="M132" s="4">
        <v>30</v>
      </c>
      <c r="N132">
        <f>L132 * M132</f>
        <v>60</v>
      </c>
      <c r="O132" s="15">
        <f>N132 *$R$3</f>
        <v>0.89999999999999991</v>
      </c>
    </row>
    <row r="133" spans="1:15" ht="15.75">
      <c r="A133" s="3">
        <v>970</v>
      </c>
      <c r="B133">
        <f>DAY(F133)</f>
        <v>16</v>
      </c>
      <c r="C133" t="str">
        <f>TEXT(F133, "mmmm")</f>
        <v>May</v>
      </c>
      <c r="D133" s="3">
        <f>MONTH(F133)</f>
        <v>5</v>
      </c>
      <c r="E133" s="3">
        <f>YEAR(F133)</f>
        <v>2023</v>
      </c>
      <c r="F133" s="2">
        <v>45062</v>
      </c>
      <c r="G133" s="3" t="s">
        <v>323</v>
      </c>
      <c r="H133" s="3" t="s">
        <v>18</v>
      </c>
      <c r="I133" s="3">
        <v>59</v>
      </c>
      <c r="J133" s="3"/>
      <c r="K133" s="3" t="s">
        <v>196</v>
      </c>
      <c r="L133" s="3">
        <v>4</v>
      </c>
      <c r="M133" s="4">
        <v>500</v>
      </c>
      <c r="N133">
        <f>L133 * M133</f>
        <v>2000</v>
      </c>
      <c r="O133" s="15">
        <f>N133 *$R$3</f>
        <v>30</v>
      </c>
    </row>
    <row r="134" spans="1:15" ht="15.75">
      <c r="A134" s="3">
        <v>35</v>
      </c>
      <c r="B134">
        <f>DAY(F134)</f>
        <v>5</v>
      </c>
      <c r="C134" t="str">
        <f>TEXT(F134, "mmmm")</f>
        <v>August</v>
      </c>
      <c r="D134" s="3">
        <f>MONTH(F134)</f>
        <v>8</v>
      </c>
      <c r="E134" s="3">
        <f>YEAR(F134)</f>
        <v>2023</v>
      </c>
      <c r="F134" s="2">
        <v>45143</v>
      </c>
      <c r="G134" s="3" t="s">
        <v>324</v>
      </c>
      <c r="H134" s="3" t="s">
        <v>198</v>
      </c>
      <c r="I134" s="3">
        <v>58</v>
      </c>
      <c r="J134" s="3"/>
      <c r="K134" s="3" t="s">
        <v>19</v>
      </c>
      <c r="L134" s="3">
        <v>3</v>
      </c>
      <c r="M134" s="4">
        <v>300</v>
      </c>
      <c r="N134">
        <f>L134 * M134</f>
        <v>900</v>
      </c>
      <c r="O134" s="15">
        <f>N134 *$R$3</f>
        <v>13.5</v>
      </c>
    </row>
    <row r="135" spans="1:15" ht="15.75">
      <c r="A135" s="3">
        <v>150</v>
      </c>
      <c r="B135">
        <f>DAY(F135)</f>
        <v>6</v>
      </c>
      <c r="C135" t="str">
        <f>TEXT(F135, "mmmm")</f>
        <v>January</v>
      </c>
      <c r="D135" s="3">
        <f>MONTH(F135)</f>
        <v>1</v>
      </c>
      <c r="E135" s="3">
        <f>YEAR(F135)</f>
        <v>2023</v>
      </c>
      <c r="F135" s="2">
        <v>44932</v>
      </c>
      <c r="G135" s="3" t="s">
        <v>325</v>
      </c>
      <c r="H135" s="3" t="s">
        <v>198</v>
      </c>
      <c r="I135" s="3">
        <v>58</v>
      </c>
      <c r="J135" s="3"/>
      <c r="K135" s="3" t="s">
        <v>196</v>
      </c>
      <c r="L135" s="3">
        <v>4</v>
      </c>
      <c r="M135" s="4">
        <v>30</v>
      </c>
      <c r="N135">
        <f>L135 * M135</f>
        <v>120</v>
      </c>
      <c r="O135" s="15">
        <f>N135 *$R$3</f>
        <v>1.7999999999999998</v>
      </c>
    </row>
    <row r="136" spans="1:15" ht="15.75">
      <c r="A136" s="3">
        <v>215</v>
      </c>
      <c r="B136">
        <f>DAY(F136)</f>
        <v>29</v>
      </c>
      <c r="C136" t="str">
        <f>TEXT(F136, "mmmm")</f>
        <v>November</v>
      </c>
      <c r="D136" s="3">
        <f>MONTH(F136)</f>
        <v>11</v>
      </c>
      <c r="E136" s="3">
        <f>YEAR(F136)</f>
        <v>2023</v>
      </c>
      <c r="F136" s="2">
        <v>45259</v>
      </c>
      <c r="G136" s="3" t="s">
        <v>326</v>
      </c>
      <c r="H136" s="3" t="s">
        <v>18</v>
      </c>
      <c r="I136" s="3">
        <v>58</v>
      </c>
      <c r="J136" s="3"/>
      <c r="K136" s="3" t="s">
        <v>195</v>
      </c>
      <c r="L136" s="3">
        <v>3</v>
      </c>
      <c r="M136" s="4">
        <v>500</v>
      </c>
      <c r="N136">
        <f>L136 * M136</f>
        <v>1500</v>
      </c>
      <c r="O136" s="15">
        <f>N136 *$R$3</f>
        <v>22.5</v>
      </c>
    </row>
    <row r="137" spans="1:15" ht="15.75">
      <c r="A137" s="3">
        <v>229</v>
      </c>
      <c r="B137">
        <f>DAY(F137)</f>
        <v>29</v>
      </c>
      <c r="C137" t="str">
        <f>TEXT(F137, "mmmm")</f>
        <v>October</v>
      </c>
      <c r="D137" s="3">
        <f>MONTH(F137)</f>
        <v>10</v>
      </c>
      <c r="E137" s="3">
        <f>YEAR(F137)</f>
        <v>2023</v>
      </c>
      <c r="F137" s="2">
        <v>45228</v>
      </c>
      <c r="G137" s="3" t="s">
        <v>79</v>
      </c>
      <c r="H137" s="3" t="s">
        <v>18</v>
      </c>
      <c r="I137" s="3">
        <v>58</v>
      </c>
      <c r="J137" s="3"/>
      <c r="K137" s="3" t="s">
        <v>19</v>
      </c>
      <c r="L137" s="3">
        <v>3</v>
      </c>
      <c r="M137" s="4">
        <v>30</v>
      </c>
      <c r="N137">
        <f>L137 * M137</f>
        <v>90</v>
      </c>
      <c r="O137" s="15">
        <f>N137 *$R$3</f>
        <v>1.3499999999999999</v>
      </c>
    </row>
    <row r="138" spans="1:15" ht="15.75">
      <c r="A138" s="3">
        <v>332</v>
      </c>
      <c r="B138">
        <f>DAY(F138)</f>
        <v>6</v>
      </c>
      <c r="C138" t="str">
        <f>TEXT(F138, "mmmm")</f>
        <v>April</v>
      </c>
      <c r="D138" s="3">
        <f>MONTH(F138)</f>
        <v>4</v>
      </c>
      <c r="E138" s="3">
        <f>YEAR(F138)</f>
        <v>2023</v>
      </c>
      <c r="F138" s="2">
        <v>45022</v>
      </c>
      <c r="G138" s="3" t="s">
        <v>327</v>
      </c>
      <c r="H138" s="3" t="s">
        <v>18</v>
      </c>
      <c r="I138" s="3">
        <v>58</v>
      </c>
      <c r="J138" s="3"/>
      <c r="K138" s="3" t="s">
        <v>196</v>
      </c>
      <c r="L138" s="3">
        <v>4</v>
      </c>
      <c r="M138" s="4">
        <v>300</v>
      </c>
      <c r="N138">
        <f>L138 * M138</f>
        <v>1200</v>
      </c>
      <c r="O138" s="15">
        <f>N138 *$R$3</f>
        <v>18</v>
      </c>
    </row>
    <row r="139" spans="1:15" ht="15.75">
      <c r="A139" s="3">
        <v>457</v>
      </c>
      <c r="B139">
        <f>DAY(F139)</f>
        <v>28</v>
      </c>
      <c r="C139" t="str">
        <f>TEXT(F139, "mmmm")</f>
        <v>July</v>
      </c>
      <c r="D139" s="3">
        <f>MONTH(F139)</f>
        <v>7</v>
      </c>
      <c r="E139" s="3">
        <f>YEAR(F139)</f>
        <v>2023</v>
      </c>
      <c r="F139" s="2">
        <v>45135</v>
      </c>
      <c r="G139" s="3" t="s">
        <v>328</v>
      </c>
      <c r="H139" s="3" t="s">
        <v>198</v>
      </c>
      <c r="I139" s="3">
        <v>58</v>
      </c>
      <c r="J139" s="3"/>
      <c r="K139" s="3" t="s">
        <v>19</v>
      </c>
      <c r="L139" s="3">
        <v>3</v>
      </c>
      <c r="M139" s="4">
        <v>300</v>
      </c>
      <c r="N139">
        <f>L139 * M139</f>
        <v>900</v>
      </c>
      <c r="O139" s="15">
        <f>N139 *$R$3</f>
        <v>13.5</v>
      </c>
    </row>
    <row r="140" spans="1:15" ht="15.75">
      <c r="A140" s="3">
        <v>478</v>
      </c>
      <c r="B140">
        <f>DAY(F140)</f>
        <v>13</v>
      </c>
      <c r="C140" t="str">
        <f>TEXT(F140, "mmmm")</f>
        <v>April</v>
      </c>
      <c r="D140" s="3">
        <f>MONTH(F140)</f>
        <v>4</v>
      </c>
      <c r="E140" s="3">
        <f>YEAR(F140)</f>
        <v>2023</v>
      </c>
      <c r="F140" s="2">
        <v>45029</v>
      </c>
      <c r="G140" s="3" t="s">
        <v>329</v>
      </c>
      <c r="H140" s="3" t="s">
        <v>198</v>
      </c>
      <c r="I140" s="3">
        <v>58</v>
      </c>
      <c r="J140" s="3"/>
      <c r="K140" s="3" t="s">
        <v>195</v>
      </c>
      <c r="L140" s="3">
        <v>2</v>
      </c>
      <c r="M140" s="4">
        <v>30</v>
      </c>
      <c r="N140">
        <f>L140 * M140</f>
        <v>60</v>
      </c>
      <c r="O140" s="15">
        <f>N140 *$R$3</f>
        <v>0.89999999999999991</v>
      </c>
    </row>
    <row r="141" spans="1:15" ht="15.75">
      <c r="A141" s="3">
        <v>508</v>
      </c>
      <c r="B141">
        <f>DAY(F141)</f>
        <v>11</v>
      </c>
      <c r="C141" t="str">
        <f>TEXT(F141, "mmmm")</f>
        <v>August</v>
      </c>
      <c r="D141" s="3">
        <f>MONTH(F141)</f>
        <v>8</v>
      </c>
      <c r="E141" s="3">
        <f>YEAR(F141)</f>
        <v>2023</v>
      </c>
      <c r="F141" s="2">
        <v>45149</v>
      </c>
      <c r="G141" s="3" t="s">
        <v>128</v>
      </c>
      <c r="H141" s="3" t="s">
        <v>18</v>
      </c>
      <c r="I141" s="3">
        <v>58</v>
      </c>
      <c r="J141" s="3"/>
      <c r="K141" s="3" t="s">
        <v>19</v>
      </c>
      <c r="L141" s="3">
        <v>2</v>
      </c>
      <c r="M141" s="4">
        <v>300</v>
      </c>
      <c r="N141">
        <f>L141 * M141</f>
        <v>600</v>
      </c>
      <c r="O141" s="15">
        <f>N141 *$R$3</f>
        <v>9</v>
      </c>
    </row>
    <row r="142" spans="1:15" ht="15.75">
      <c r="A142" s="3">
        <v>649</v>
      </c>
      <c r="B142">
        <f>DAY(F142)</f>
        <v>9</v>
      </c>
      <c r="C142" t="str">
        <f>TEXT(F142, "mmmm")</f>
        <v>February</v>
      </c>
      <c r="D142" s="3">
        <f>MONTH(F142)</f>
        <v>2</v>
      </c>
      <c r="E142" s="3">
        <f>YEAR(F142)</f>
        <v>2023</v>
      </c>
      <c r="F142" s="2">
        <v>44966</v>
      </c>
      <c r="G142" s="3" t="s">
        <v>330</v>
      </c>
      <c r="H142" s="3" t="s">
        <v>198</v>
      </c>
      <c r="I142" s="3">
        <v>58</v>
      </c>
      <c r="J142" s="3"/>
      <c r="K142" s="3" t="s">
        <v>195</v>
      </c>
      <c r="L142" s="3">
        <v>2</v>
      </c>
      <c r="M142" s="4">
        <v>300</v>
      </c>
      <c r="N142">
        <f>L142 * M142</f>
        <v>600</v>
      </c>
      <c r="O142" s="15">
        <f>N142 *$R$3</f>
        <v>9</v>
      </c>
    </row>
    <row r="143" spans="1:15" ht="15.75">
      <c r="A143" s="3">
        <v>755</v>
      </c>
      <c r="B143">
        <f>DAY(F143)</f>
        <v>22</v>
      </c>
      <c r="C143" t="str">
        <f>TEXT(F143, "mmmm")</f>
        <v>April</v>
      </c>
      <c r="D143" s="3">
        <f>MONTH(F143)</f>
        <v>4</v>
      </c>
      <c r="E143" s="3">
        <f>YEAR(F143)</f>
        <v>2023</v>
      </c>
      <c r="F143" s="2">
        <v>45038</v>
      </c>
      <c r="G143" s="3" t="s">
        <v>331</v>
      </c>
      <c r="H143" s="3" t="s">
        <v>198</v>
      </c>
      <c r="I143" s="3">
        <v>58</v>
      </c>
      <c r="J143" s="3"/>
      <c r="K143" s="3" t="s">
        <v>195</v>
      </c>
      <c r="L143" s="3">
        <v>3</v>
      </c>
      <c r="M143" s="4">
        <v>25</v>
      </c>
      <c r="N143">
        <f>L143 * M143</f>
        <v>75</v>
      </c>
      <c r="O143" s="15">
        <f>N143 *$R$3</f>
        <v>1.125</v>
      </c>
    </row>
    <row r="144" spans="1:15" ht="15.75">
      <c r="A144" s="3">
        <v>877</v>
      </c>
      <c r="B144">
        <f>DAY(F144)</f>
        <v>19</v>
      </c>
      <c r="C144" t="str">
        <f>TEXT(F144, "mmmm")</f>
        <v>June</v>
      </c>
      <c r="D144" s="3">
        <f>MONTH(F144)</f>
        <v>6</v>
      </c>
      <c r="E144" s="3">
        <f>YEAR(F144)</f>
        <v>2023</v>
      </c>
      <c r="F144" s="2">
        <v>45096</v>
      </c>
      <c r="G144" s="3" t="s">
        <v>332</v>
      </c>
      <c r="H144" s="3" t="s">
        <v>198</v>
      </c>
      <c r="I144" s="3">
        <v>58</v>
      </c>
      <c r="J144" s="3"/>
      <c r="K144" s="3" t="s">
        <v>195</v>
      </c>
      <c r="L144" s="3">
        <v>1</v>
      </c>
      <c r="M144" s="4">
        <v>25</v>
      </c>
      <c r="N144">
        <f>L144 * M144</f>
        <v>25</v>
      </c>
      <c r="O144" s="15">
        <f>N144 *$R$3</f>
        <v>0.375</v>
      </c>
    </row>
    <row r="145" spans="1:15" ht="15.75">
      <c r="A145" s="3">
        <v>905</v>
      </c>
      <c r="B145">
        <f>DAY(F145)</f>
        <v>2</v>
      </c>
      <c r="C145" t="str">
        <f>TEXT(F145, "mmmm")</f>
        <v>April</v>
      </c>
      <c r="D145" s="3">
        <f>MONTH(F145)</f>
        <v>4</v>
      </c>
      <c r="E145" s="3">
        <f>YEAR(F145)</f>
        <v>2023</v>
      </c>
      <c r="F145" s="2">
        <v>45018</v>
      </c>
      <c r="G145" s="3" t="s">
        <v>116</v>
      </c>
      <c r="H145" s="3" t="s">
        <v>18</v>
      </c>
      <c r="I145" s="3">
        <v>58</v>
      </c>
      <c r="J145" s="3"/>
      <c r="K145" s="3" t="s">
        <v>19</v>
      </c>
      <c r="L145" s="3">
        <v>1</v>
      </c>
      <c r="M145" s="4">
        <v>300</v>
      </c>
      <c r="N145">
        <f>L145 * M145</f>
        <v>300</v>
      </c>
      <c r="O145" s="15">
        <f>N145 *$R$3</f>
        <v>4.5</v>
      </c>
    </row>
    <row r="146" spans="1:15" ht="15.75">
      <c r="A146" s="3">
        <v>955</v>
      </c>
      <c r="B146">
        <f>DAY(F146)</f>
        <v>14</v>
      </c>
      <c r="C146" t="str">
        <f>TEXT(F146, "mmmm")</f>
        <v>July</v>
      </c>
      <c r="D146" s="3">
        <f>MONTH(F146)</f>
        <v>7</v>
      </c>
      <c r="E146" s="3">
        <f>YEAR(F146)</f>
        <v>2023</v>
      </c>
      <c r="F146" s="2">
        <v>45121</v>
      </c>
      <c r="G146" s="3" t="s">
        <v>333</v>
      </c>
      <c r="H146" s="3" t="s">
        <v>18</v>
      </c>
      <c r="I146" s="3">
        <v>58</v>
      </c>
      <c r="J146" s="3"/>
      <c r="K146" s="3" t="s">
        <v>195</v>
      </c>
      <c r="L146" s="3">
        <v>1</v>
      </c>
      <c r="M146" s="4">
        <v>25</v>
      </c>
      <c r="N146">
        <f>L146 * M146</f>
        <v>25</v>
      </c>
      <c r="O146" s="15">
        <f>N146 *$R$3</f>
        <v>0.375</v>
      </c>
    </row>
    <row r="147" spans="1:15" ht="15.75">
      <c r="A147" s="3">
        <v>990</v>
      </c>
      <c r="B147">
        <f>DAY(F147)</f>
        <v>25</v>
      </c>
      <c r="C147" t="str">
        <f>TEXT(F147, "mmmm")</f>
        <v>May</v>
      </c>
      <c r="D147" s="3">
        <f>MONTH(F147)</f>
        <v>5</v>
      </c>
      <c r="E147" s="3">
        <f>YEAR(F147)</f>
        <v>2023</v>
      </c>
      <c r="F147" s="2">
        <v>45071</v>
      </c>
      <c r="G147" s="3" t="s">
        <v>334</v>
      </c>
      <c r="H147" s="3" t="s">
        <v>198</v>
      </c>
      <c r="I147" s="3">
        <v>58</v>
      </c>
      <c r="J147" s="3"/>
      <c r="K147" s="3" t="s">
        <v>19</v>
      </c>
      <c r="L147" s="3">
        <v>2</v>
      </c>
      <c r="M147" s="4">
        <v>500</v>
      </c>
      <c r="N147">
        <f>L147 * M147</f>
        <v>1000</v>
      </c>
      <c r="O147" s="15">
        <f>N147 *$R$3</f>
        <v>15</v>
      </c>
    </row>
    <row r="148" spans="1:15" ht="15.75">
      <c r="A148" s="3">
        <v>63</v>
      </c>
      <c r="B148">
        <f>DAY(F148)</f>
        <v>5</v>
      </c>
      <c r="C148" t="str">
        <f>TEXT(F148, "mmmm")</f>
        <v>February</v>
      </c>
      <c r="D148" s="3">
        <f>MONTH(F148)</f>
        <v>2</v>
      </c>
      <c r="E148" s="3">
        <f>YEAR(F148)</f>
        <v>2023</v>
      </c>
      <c r="F148" s="2">
        <v>44962</v>
      </c>
      <c r="G148" s="3" t="s">
        <v>335</v>
      </c>
      <c r="H148" s="3" t="s">
        <v>18</v>
      </c>
      <c r="I148" s="3">
        <v>57</v>
      </c>
      <c r="J148" s="3"/>
      <c r="K148" s="3" t="s">
        <v>196</v>
      </c>
      <c r="L148" s="3">
        <v>2</v>
      </c>
      <c r="M148" s="4">
        <v>25</v>
      </c>
      <c r="N148">
        <f>L148 * M148</f>
        <v>50</v>
      </c>
      <c r="O148" s="15">
        <f>N148 *$R$3</f>
        <v>0.75</v>
      </c>
    </row>
    <row r="149" spans="1:15" ht="15.75">
      <c r="A149" s="3">
        <v>130</v>
      </c>
      <c r="B149">
        <f>DAY(F149)</f>
        <v>12</v>
      </c>
      <c r="C149" t="str">
        <f>TEXT(F149, "mmmm")</f>
        <v>March</v>
      </c>
      <c r="D149" s="3">
        <f>MONTH(F149)</f>
        <v>3</v>
      </c>
      <c r="E149" s="3">
        <f>YEAR(F149)</f>
        <v>2023</v>
      </c>
      <c r="F149" s="2">
        <v>44997</v>
      </c>
      <c r="G149" s="3" t="s">
        <v>336</v>
      </c>
      <c r="H149" s="3" t="s">
        <v>198</v>
      </c>
      <c r="I149" s="3">
        <v>57</v>
      </c>
      <c r="J149" s="3"/>
      <c r="K149" s="3" t="s">
        <v>195</v>
      </c>
      <c r="L149" s="3">
        <v>1</v>
      </c>
      <c r="M149" s="4">
        <v>500</v>
      </c>
      <c r="N149">
        <f>L149 * M149</f>
        <v>500</v>
      </c>
      <c r="O149" s="15">
        <f>N149 *$R$3</f>
        <v>7.5</v>
      </c>
    </row>
    <row r="150" spans="1:15" ht="15.75">
      <c r="A150" s="3">
        <v>225</v>
      </c>
      <c r="B150">
        <f>DAY(F150)</f>
        <v>11</v>
      </c>
      <c r="C150" t="str">
        <f>TEXT(F150, "mmmm")</f>
        <v>January</v>
      </c>
      <c r="D150" s="3">
        <f>MONTH(F150)</f>
        <v>1</v>
      </c>
      <c r="E150" s="3">
        <f>YEAR(F150)</f>
        <v>2023</v>
      </c>
      <c r="F150" s="2">
        <v>44937</v>
      </c>
      <c r="G150" s="3" t="s">
        <v>337</v>
      </c>
      <c r="H150" s="3" t="s">
        <v>198</v>
      </c>
      <c r="I150" s="3">
        <v>57</v>
      </c>
      <c r="J150" s="3"/>
      <c r="K150" s="3" t="s">
        <v>19</v>
      </c>
      <c r="L150" s="3">
        <v>4</v>
      </c>
      <c r="M150" s="4">
        <v>25</v>
      </c>
      <c r="N150">
        <f>L150 * M150</f>
        <v>100</v>
      </c>
      <c r="O150" s="15">
        <f>N150 *$R$3</f>
        <v>1.5</v>
      </c>
    </row>
    <row r="151" spans="1:15" ht="15.75">
      <c r="A151" s="3">
        <v>251</v>
      </c>
      <c r="B151">
        <f>DAY(F151)</f>
        <v>31</v>
      </c>
      <c r="C151" t="str">
        <f>TEXT(F151, "mmmm")</f>
        <v>August</v>
      </c>
      <c r="D151" s="3">
        <f>MONTH(F151)</f>
        <v>8</v>
      </c>
      <c r="E151" s="3">
        <f>YEAR(F151)</f>
        <v>2023</v>
      </c>
      <c r="F151" s="2">
        <v>45169</v>
      </c>
      <c r="G151" s="3" t="s">
        <v>338</v>
      </c>
      <c r="H151" s="3" t="s">
        <v>198</v>
      </c>
      <c r="I151" s="3">
        <v>57</v>
      </c>
      <c r="J151" s="3"/>
      <c r="K151" s="3" t="s">
        <v>19</v>
      </c>
      <c r="L151" s="3">
        <v>4</v>
      </c>
      <c r="M151" s="4">
        <v>50</v>
      </c>
      <c r="N151">
        <f>L151 * M151</f>
        <v>200</v>
      </c>
      <c r="O151" s="15">
        <f>N151 *$R$3</f>
        <v>3</v>
      </c>
    </row>
    <row r="152" spans="1:15" ht="15.75">
      <c r="A152" s="3">
        <v>302</v>
      </c>
      <c r="B152">
        <f>DAY(F152)</f>
        <v>14</v>
      </c>
      <c r="C152" t="str">
        <f>TEXT(F152, "mmmm")</f>
        <v>July</v>
      </c>
      <c r="D152" s="3">
        <f>MONTH(F152)</f>
        <v>7</v>
      </c>
      <c r="E152" s="3">
        <f>YEAR(F152)</f>
        <v>2023</v>
      </c>
      <c r="F152" s="2">
        <v>45121</v>
      </c>
      <c r="G152" s="3" t="s">
        <v>129</v>
      </c>
      <c r="H152" s="3" t="s">
        <v>18</v>
      </c>
      <c r="I152" s="3">
        <v>57</v>
      </c>
      <c r="J152" s="3"/>
      <c r="K152" s="3" t="s">
        <v>19</v>
      </c>
      <c r="L152" s="3">
        <v>2</v>
      </c>
      <c r="M152" s="4">
        <v>300</v>
      </c>
      <c r="N152">
        <f>L152 * M152</f>
        <v>600</v>
      </c>
      <c r="O152" s="15">
        <f>N152 *$R$3</f>
        <v>9</v>
      </c>
    </row>
    <row r="153" spans="1:15" ht="15.75">
      <c r="A153" s="3">
        <v>327</v>
      </c>
      <c r="B153">
        <f>DAY(F153)</f>
        <v>29</v>
      </c>
      <c r="C153" t="str">
        <f>TEXT(F153, "mmmm")</f>
        <v>September</v>
      </c>
      <c r="D153" s="3">
        <f>MONTH(F153)</f>
        <v>9</v>
      </c>
      <c r="E153" s="3">
        <f>YEAR(F153)</f>
        <v>2023</v>
      </c>
      <c r="F153" s="2">
        <v>45198</v>
      </c>
      <c r="G153" s="3" t="s">
        <v>339</v>
      </c>
      <c r="H153" s="3" t="s">
        <v>18</v>
      </c>
      <c r="I153" s="3">
        <v>57</v>
      </c>
      <c r="J153" s="3"/>
      <c r="K153" s="3" t="s">
        <v>196</v>
      </c>
      <c r="L153" s="3">
        <v>3</v>
      </c>
      <c r="M153" s="4">
        <v>50</v>
      </c>
      <c r="N153">
        <f>L153 * M153</f>
        <v>150</v>
      </c>
      <c r="O153" s="15">
        <f>N153 *$R$3</f>
        <v>2.25</v>
      </c>
    </row>
    <row r="154" spans="1:15" ht="15.75">
      <c r="A154" s="3">
        <v>349</v>
      </c>
      <c r="B154">
        <f>DAY(F154)</f>
        <v>26</v>
      </c>
      <c r="C154" t="str">
        <f>TEXT(F154, "mmmm")</f>
        <v>October</v>
      </c>
      <c r="D154" s="3">
        <f>MONTH(F154)</f>
        <v>10</v>
      </c>
      <c r="E154" s="3">
        <f>YEAR(F154)</f>
        <v>2023</v>
      </c>
      <c r="F154" s="2">
        <v>45225</v>
      </c>
      <c r="G154" s="3" t="s">
        <v>340</v>
      </c>
      <c r="H154" s="3" t="s">
        <v>198</v>
      </c>
      <c r="I154" s="3">
        <v>57</v>
      </c>
      <c r="J154" s="3"/>
      <c r="K154" s="3" t="s">
        <v>19</v>
      </c>
      <c r="L154" s="3">
        <v>1</v>
      </c>
      <c r="M154" s="4">
        <v>50</v>
      </c>
      <c r="N154">
        <f>L154 * M154</f>
        <v>50</v>
      </c>
      <c r="O154" s="15">
        <f>N154 *$R$3</f>
        <v>0.75</v>
      </c>
    </row>
    <row r="155" spans="1:15" ht="15.75">
      <c r="A155" s="3">
        <v>352</v>
      </c>
      <c r="B155">
        <f>DAY(F155)</f>
        <v>11</v>
      </c>
      <c r="C155" t="str">
        <f>TEXT(F155, "mmmm")</f>
        <v>June</v>
      </c>
      <c r="D155" s="3">
        <f>MONTH(F155)</f>
        <v>6</v>
      </c>
      <c r="E155" s="3">
        <f>YEAR(F155)</f>
        <v>2023</v>
      </c>
      <c r="F155" s="2">
        <v>45088</v>
      </c>
      <c r="G155" s="3" t="s">
        <v>341</v>
      </c>
      <c r="H155" s="3" t="s">
        <v>18</v>
      </c>
      <c r="I155" s="3">
        <v>57</v>
      </c>
      <c r="J155" s="3"/>
      <c r="K155" s="3" t="s">
        <v>196</v>
      </c>
      <c r="L155" s="3">
        <v>2</v>
      </c>
      <c r="M155" s="4">
        <v>500</v>
      </c>
      <c r="N155">
        <f>L155 * M155</f>
        <v>1000</v>
      </c>
      <c r="O155" s="15">
        <f>N155 *$R$3</f>
        <v>15</v>
      </c>
    </row>
    <row r="156" spans="1:15" ht="15.75">
      <c r="A156" s="3">
        <v>366</v>
      </c>
      <c r="B156">
        <f>DAY(F156)</f>
        <v>7</v>
      </c>
      <c r="C156" t="str">
        <f>TEXT(F156, "mmmm")</f>
        <v>February</v>
      </c>
      <c r="D156" s="3">
        <f>MONTH(F156)</f>
        <v>2</v>
      </c>
      <c r="E156" s="3">
        <f>YEAR(F156)</f>
        <v>2023</v>
      </c>
      <c r="F156" s="2">
        <v>44964</v>
      </c>
      <c r="G156" s="3" t="s">
        <v>342</v>
      </c>
      <c r="H156" s="3" t="s">
        <v>18</v>
      </c>
      <c r="I156" s="3">
        <v>57</v>
      </c>
      <c r="J156" s="3"/>
      <c r="K156" s="3" t="s">
        <v>195</v>
      </c>
      <c r="L156" s="3">
        <v>2</v>
      </c>
      <c r="M156" s="4">
        <v>50</v>
      </c>
      <c r="N156">
        <f>L156 * M156</f>
        <v>100</v>
      </c>
      <c r="O156" s="15">
        <f>N156 *$R$3</f>
        <v>1.5</v>
      </c>
    </row>
    <row r="157" spans="1:15" ht="15.75">
      <c r="A157" s="3">
        <v>367</v>
      </c>
      <c r="B157">
        <f>DAY(F157)</f>
        <v>5</v>
      </c>
      <c r="C157" t="str">
        <f>TEXT(F157, "mmmm")</f>
        <v>January</v>
      </c>
      <c r="D157" s="3">
        <f>MONTH(F157)</f>
        <v>1</v>
      </c>
      <c r="E157" s="3">
        <f>YEAR(F157)</f>
        <v>2023</v>
      </c>
      <c r="F157" s="2">
        <v>44931</v>
      </c>
      <c r="G157" s="3" t="s">
        <v>343</v>
      </c>
      <c r="H157" s="3" t="s">
        <v>198</v>
      </c>
      <c r="I157" s="3">
        <v>57</v>
      </c>
      <c r="J157" s="3"/>
      <c r="K157" s="3" t="s">
        <v>196</v>
      </c>
      <c r="L157" s="3">
        <v>1</v>
      </c>
      <c r="M157" s="4">
        <v>50</v>
      </c>
      <c r="N157">
        <f>L157 * M157</f>
        <v>50</v>
      </c>
      <c r="O157" s="15">
        <f>N157 *$R$3</f>
        <v>0.75</v>
      </c>
    </row>
    <row r="158" spans="1:15" ht="15.75">
      <c r="A158" s="3">
        <v>424</v>
      </c>
      <c r="B158">
        <f>DAY(F158)</f>
        <v>23</v>
      </c>
      <c r="C158" t="str">
        <f>TEXT(F158, "mmmm")</f>
        <v>November</v>
      </c>
      <c r="D158" s="3">
        <f>MONTH(F158)</f>
        <v>11</v>
      </c>
      <c r="E158" s="3">
        <f>YEAR(F158)</f>
        <v>2023</v>
      </c>
      <c r="F158" s="2">
        <v>45253</v>
      </c>
      <c r="G158" s="3" t="s">
        <v>150</v>
      </c>
      <c r="H158" s="3" t="s">
        <v>18</v>
      </c>
      <c r="I158" s="3">
        <v>57</v>
      </c>
      <c r="J158" s="3"/>
      <c r="K158" s="3" t="s">
        <v>19</v>
      </c>
      <c r="L158" s="3">
        <v>4</v>
      </c>
      <c r="M158" s="4">
        <v>300</v>
      </c>
      <c r="N158">
        <f>L158 * M158</f>
        <v>1200</v>
      </c>
      <c r="O158" s="15">
        <f>N158 *$R$3</f>
        <v>18</v>
      </c>
    </row>
    <row r="159" spans="1:15" ht="15.75">
      <c r="A159" s="3">
        <v>436</v>
      </c>
      <c r="B159">
        <f>DAY(F159)</f>
        <v>18</v>
      </c>
      <c r="C159" t="str">
        <f>TEXT(F159, "mmmm")</f>
        <v>March</v>
      </c>
      <c r="D159" s="3">
        <f>MONTH(F159)</f>
        <v>3</v>
      </c>
      <c r="E159" s="3">
        <f>YEAR(F159)</f>
        <v>2023</v>
      </c>
      <c r="F159" s="2">
        <v>45003</v>
      </c>
      <c r="G159" s="3" t="s">
        <v>344</v>
      </c>
      <c r="H159" s="3" t="s">
        <v>198</v>
      </c>
      <c r="I159" s="3">
        <v>57</v>
      </c>
      <c r="J159" s="3"/>
      <c r="K159" s="3" t="s">
        <v>195</v>
      </c>
      <c r="L159" s="3">
        <v>4</v>
      </c>
      <c r="M159" s="4">
        <v>30</v>
      </c>
      <c r="N159">
        <f>L159 * M159</f>
        <v>120</v>
      </c>
      <c r="O159" s="15">
        <f>N159 *$R$3</f>
        <v>1.7999999999999998</v>
      </c>
    </row>
    <row r="160" spans="1:15" ht="15.75">
      <c r="A160" s="3">
        <v>441</v>
      </c>
      <c r="B160">
        <f>DAY(F160)</f>
        <v>10</v>
      </c>
      <c r="C160" t="str">
        <f>TEXT(F160, "mmmm")</f>
        <v>October</v>
      </c>
      <c r="D160" s="3">
        <f>MONTH(F160)</f>
        <v>10</v>
      </c>
      <c r="E160" s="3">
        <f>YEAR(F160)</f>
        <v>2023</v>
      </c>
      <c r="F160" s="2">
        <v>45209</v>
      </c>
      <c r="G160" s="3" t="s">
        <v>149</v>
      </c>
      <c r="H160" s="3" t="s">
        <v>18</v>
      </c>
      <c r="I160" s="3">
        <v>57</v>
      </c>
      <c r="J160" s="3"/>
      <c r="K160" s="3" t="s">
        <v>19</v>
      </c>
      <c r="L160" s="3">
        <v>4</v>
      </c>
      <c r="M160" s="4">
        <v>300</v>
      </c>
      <c r="N160">
        <f>L160 * M160</f>
        <v>1200</v>
      </c>
      <c r="O160" s="15">
        <f>N160 *$R$3</f>
        <v>18</v>
      </c>
    </row>
    <row r="161" spans="1:15" ht="15.75">
      <c r="A161" s="3">
        <v>456</v>
      </c>
      <c r="B161">
        <f>DAY(F161)</f>
        <v>14</v>
      </c>
      <c r="C161" t="str">
        <f>TEXT(F161, "mmmm")</f>
        <v>October</v>
      </c>
      <c r="D161" s="3">
        <f>MONTH(F161)</f>
        <v>10</v>
      </c>
      <c r="E161" s="3">
        <f>YEAR(F161)</f>
        <v>2023</v>
      </c>
      <c r="F161" s="2">
        <v>45213</v>
      </c>
      <c r="G161" s="3" t="s">
        <v>345</v>
      </c>
      <c r="H161" s="3" t="s">
        <v>18</v>
      </c>
      <c r="I161" s="3">
        <v>57</v>
      </c>
      <c r="J161" s="3"/>
      <c r="K161" s="3" t="s">
        <v>196</v>
      </c>
      <c r="L161" s="3">
        <v>2</v>
      </c>
      <c r="M161" s="4">
        <v>30</v>
      </c>
      <c r="N161">
        <f>L161 * M161</f>
        <v>60</v>
      </c>
      <c r="O161" s="15">
        <f>N161 *$R$3</f>
        <v>0.89999999999999991</v>
      </c>
    </row>
    <row r="162" spans="1:15" ht="15.75">
      <c r="A162" s="3">
        <v>470</v>
      </c>
      <c r="B162">
        <f>DAY(F162)</f>
        <v>17</v>
      </c>
      <c r="C162" t="str">
        <f>TEXT(F162, "mmmm")</f>
        <v>May</v>
      </c>
      <c r="D162" s="3">
        <f>MONTH(F162)</f>
        <v>5</v>
      </c>
      <c r="E162" s="3">
        <f>YEAR(F162)</f>
        <v>2023</v>
      </c>
      <c r="F162" s="2">
        <v>45063</v>
      </c>
      <c r="G162" s="3" t="s">
        <v>346</v>
      </c>
      <c r="H162" s="3" t="s">
        <v>198</v>
      </c>
      <c r="I162" s="3">
        <v>57</v>
      </c>
      <c r="J162" s="3"/>
      <c r="K162" s="3" t="s">
        <v>195</v>
      </c>
      <c r="L162" s="3">
        <v>2</v>
      </c>
      <c r="M162" s="4">
        <v>500</v>
      </c>
      <c r="N162">
        <f>L162 * M162</f>
        <v>1000</v>
      </c>
      <c r="O162" s="15">
        <f>N162 *$R$3</f>
        <v>15</v>
      </c>
    </row>
    <row r="163" spans="1:15" ht="15.75">
      <c r="A163" s="3">
        <v>512</v>
      </c>
      <c r="B163">
        <f>DAY(F163)</f>
        <v>7</v>
      </c>
      <c r="C163" t="str">
        <f>TEXT(F163, "mmmm")</f>
        <v>November</v>
      </c>
      <c r="D163" s="3">
        <f>MONTH(F163)</f>
        <v>11</v>
      </c>
      <c r="E163" s="3">
        <f>YEAR(F163)</f>
        <v>2023</v>
      </c>
      <c r="F163" s="2">
        <v>45237</v>
      </c>
      <c r="G163" s="3" t="s">
        <v>347</v>
      </c>
      <c r="H163" s="3" t="s">
        <v>198</v>
      </c>
      <c r="I163" s="3">
        <v>57</v>
      </c>
      <c r="J163" s="3"/>
      <c r="K163" s="3" t="s">
        <v>19</v>
      </c>
      <c r="L163" s="3">
        <v>1</v>
      </c>
      <c r="M163" s="4">
        <v>25</v>
      </c>
      <c r="N163">
        <f>L163 * M163</f>
        <v>25</v>
      </c>
      <c r="O163" s="15">
        <f>N163 *$R$3</f>
        <v>0.375</v>
      </c>
    </row>
    <row r="164" spans="1:15" ht="15.75">
      <c r="A164" s="3">
        <v>527</v>
      </c>
      <c r="B164">
        <f>DAY(F164)</f>
        <v>11</v>
      </c>
      <c r="C164" t="str">
        <f>TEXT(F164, "mmmm")</f>
        <v>April</v>
      </c>
      <c r="D164" s="3">
        <f>MONTH(F164)</f>
        <v>4</v>
      </c>
      <c r="E164" s="3">
        <f>YEAR(F164)</f>
        <v>2023</v>
      </c>
      <c r="F164" s="2">
        <v>45027</v>
      </c>
      <c r="G164" s="3" t="s">
        <v>348</v>
      </c>
      <c r="H164" s="3" t="s">
        <v>18</v>
      </c>
      <c r="I164" s="3">
        <v>57</v>
      </c>
      <c r="J164" s="3"/>
      <c r="K164" s="3" t="s">
        <v>195</v>
      </c>
      <c r="L164" s="3">
        <v>2</v>
      </c>
      <c r="M164" s="4">
        <v>25</v>
      </c>
      <c r="N164">
        <f>L164 * M164</f>
        <v>50</v>
      </c>
      <c r="O164" s="15">
        <f>N164 *$R$3</f>
        <v>0.75</v>
      </c>
    </row>
    <row r="165" spans="1:15" ht="15.75">
      <c r="A165" s="3">
        <v>627</v>
      </c>
      <c r="B165">
        <f>DAY(F165)</f>
        <v>14</v>
      </c>
      <c r="C165" t="str">
        <f>TEXT(F165, "mmmm")</f>
        <v>October</v>
      </c>
      <c r="D165" s="3">
        <f>MONTH(F165)</f>
        <v>10</v>
      </c>
      <c r="E165" s="3">
        <f>YEAR(F165)</f>
        <v>2023</v>
      </c>
      <c r="F165" s="2">
        <v>45213</v>
      </c>
      <c r="G165" s="3" t="s">
        <v>349</v>
      </c>
      <c r="H165" s="3" t="s">
        <v>18</v>
      </c>
      <c r="I165" s="3">
        <v>57</v>
      </c>
      <c r="J165" s="3"/>
      <c r="K165" s="3" t="s">
        <v>195</v>
      </c>
      <c r="L165" s="3">
        <v>1</v>
      </c>
      <c r="M165" s="4">
        <v>50</v>
      </c>
      <c r="N165">
        <f>L165 * M165</f>
        <v>50</v>
      </c>
      <c r="O165" s="15">
        <f>N165 *$R$3</f>
        <v>0.75</v>
      </c>
    </row>
    <row r="166" spans="1:15" ht="15.75">
      <c r="A166" s="3">
        <v>665</v>
      </c>
      <c r="B166">
        <f>DAY(F166)</f>
        <v>20</v>
      </c>
      <c r="C166" t="str">
        <f>TEXT(F166, "mmmm")</f>
        <v>April</v>
      </c>
      <c r="D166" s="3">
        <f>MONTH(F166)</f>
        <v>4</v>
      </c>
      <c r="E166" s="3">
        <f>YEAR(F166)</f>
        <v>2023</v>
      </c>
      <c r="F166" s="2">
        <v>45036</v>
      </c>
      <c r="G166" s="3" t="s">
        <v>350</v>
      </c>
      <c r="H166" s="3" t="s">
        <v>18</v>
      </c>
      <c r="I166" s="3">
        <v>57</v>
      </c>
      <c r="J166" s="3"/>
      <c r="K166" s="3" t="s">
        <v>195</v>
      </c>
      <c r="L166" s="3">
        <v>1</v>
      </c>
      <c r="M166" s="4">
        <v>50</v>
      </c>
      <c r="N166">
        <f>L166 * M166</f>
        <v>50</v>
      </c>
      <c r="O166" s="15">
        <f>N166 *$R$3</f>
        <v>0.75</v>
      </c>
    </row>
    <row r="167" spans="1:15" ht="15.75">
      <c r="A167" s="3">
        <v>685</v>
      </c>
      <c r="B167">
        <f>DAY(F167)</f>
        <v>2</v>
      </c>
      <c r="C167" t="str">
        <f>TEXT(F167, "mmmm")</f>
        <v>June</v>
      </c>
      <c r="D167" s="3">
        <f>MONTH(F167)</f>
        <v>6</v>
      </c>
      <c r="E167" s="3">
        <f>YEAR(F167)</f>
        <v>2023</v>
      </c>
      <c r="F167" s="2">
        <v>45079</v>
      </c>
      <c r="G167" s="3" t="s">
        <v>351</v>
      </c>
      <c r="H167" s="3" t="s">
        <v>18</v>
      </c>
      <c r="I167" s="3">
        <v>57</v>
      </c>
      <c r="J167" s="3"/>
      <c r="K167" s="3" t="s">
        <v>196</v>
      </c>
      <c r="L167" s="3">
        <v>2</v>
      </c>
      <c r="M167" s="4">
        <v>25</v>
      </c>
      <c r="N167">
        <f>L167 * M167</f>
        <v>50</v>
      </c>
      <c r="O167" s="15">
        <f>N167 *$R$3</f>
        <v>0.75</v>
      </c>
    </row>
    <row r="168" spans="1:15" ht="15.75">
      <c r="A168" s="3">
        <v>689</v>
      </c>
      <c r="B168">
        <f>DAY(F168)</f>
        <v>7</v>
      </c>
      <c r="C168" t="str">
        <f>TEXT(F168, "mmmm")</f>
        <v>October</v>
      </c>
      <c r="D168" s="3">
        <f>MONTH(F168)</f>
        <v>10</v>
      </c>
      <c r="E168" s="3">
        <f>YEAR(F168)</f>
        <v>2023</v>
      </c>
      <c r="F168" s="2">
        <v>45206</v>
      </c>
      <c r="G168" s="3" t="s">
        <v>352</v>
      </c>
      <c r="H168" s="3" t="s">
        <v>18</v>
      </c>
      <c r="I168" s="3">
        <v>57</v>
      </c>
      <c r="J168" s="3"/>
      <c r="K168" s="3" t="s">
        <v>196</v>
      </c>
      <c r="L168" s="3">
        <v>2</v>
      </c>
      <c r="M168" s="4">
        <v>50</v>
      </c>
      <c r="N168">
        <f>L168 * M168</f>
        <v>100</v>
      </c>
      <c r="O168" s="15">
        <f>N168 *$R$3</f>
        <v>1.5</v>
      </c>
    </row>
    <row r="169" spans="1:15" ht="15.75">
      <c r="A169" s="3">
        <v>712</v>
      </c>
      <c r="B169">
        <f>DAY(F169)</f>
        <v>6</v>
      </c>
      <c r="C169" t="str">
        <f>TEXT(F169, "mmmm")</f>
        <v>December</v>
      </c>
      <c r="D169" s="3">
        <f>MONTH(F169)</f>
        <v>12</v>
      </c>
      <c r="E169" s="3">
        <f>YEAR(F169)</f>
        <v>2023</v>
      </c>
      <c r="F169" s="2">
        <v>45266</v>
      </c>
      <c r="G169" s="3" t="s">
        <v>353</v>
      </c>
      <c r="H169" s="3" t="s">
        <v>198</v>
      </c>
      <c r="I169" s="3">
        <v>57</v>
      </c>
      <c r="J169" s="3"/>
      <c r="K169" s="3" t="s">
        <v>19</v>
      </c>
      <c r="L169" s="3">
        <v>2</v>
      </c>
      <c r="M169" s="4">
        <v>25</v>
      </c>
      <c r="N169">
        <f>L169 * M169</f>
        <v>50</v>
      </c>
      <c r="O169" s="15">
        <f>N169 *$R$3</f>
        <v>0.75</v>
      </c>
    </row>
    <row r="170" spans="1:15" ht="15.75">
      <c r="A170" s="3">
        <v>717</v>
      </c>
      <c r="B170">
        <f>DAY(F170)</f>
        <v>11</v>
      </c>
      <c r="C170" t="str">
        <f>TEXT(F170, "mmmm")</f>
        <v>March</v>
      </c>
      <c r="D170" s="3">
        <f>MONTH(F170)</f>
        <v>3</v>
      </c>
      <c r="E170" s="3">
        <f>YEAR(F170)</f>
        <v>2023</v>
      </c>
      <c r="F170" s="2">
        <v>44996</v>
      </c>
      <c r="G170" s="3" t="s">
        <v>354</v>
      </c>
      <c r="H170" s="3" t="s">
        <v>18</v>
      </c>
      <c r="I170" s="3">
        <v>57</v>
      </c>
      <c r="J170" s="3"/>
      <c r="K170" s="3" t="s">
        <v>195</v>
      </c>
      <c r="L170" s="3">
        <v>1</v>
      </c>
      <c r="M170" s="4">
        <v>500</v>
      </c>
      <c r="N170">
        <f>L170 * M170</f>
        <v>500</v>
      </c>
      <c r="O170" s="15">
        <f>N170 *$R$3</f>
        <v>7.5</v>
      </c>
    </row>
    <row r="171" spans="1:15" ht="15.75">
      <c r="A171" s="3">
        <v>795</v>
      </c>
      <c r="B171">
        <f>DAY(F171)</f>
        <v>28</v>
      </c>
      <c r="C171" t="str">
        <f>TEXT(F171, "mmmm")</f>
        <v>November</v>
      </c>
      <c r="D171" s="3">
        <f>MONTH(F171)</f>
        <v>11</v>
      </c>
      <c r="E171" s="3">
        <f>YEAR(F171)</f>
        <v>2023</v>
      </c>
      <c r="F171" s="2">
        <v>45258</v>
      </c>
      <c r="G171" s="3" t="s">
        <v>355</v>
      </c>
      <c r="H171" s="3" t="s">
        <v>18</v>
      </c>
      <c r="I171" s="3">
        <v>57</v>
      </c>
      <c r="J171" s="3"/>
      <c r="K171" s="3" t="s">
        <v>196</v>
      </c>
      <c r="L171" s="3">
        <v>1</v>
      </c>
      <c r="M171" s="4">
        <v>300</v>
      </c>
      <c r="N171">
        <f>L171 * M171</f>
        <v>300</v>
      </c>
      <c r="O171" s="15">
        <f>N171 *$R$3</f>
        <v>4.5</v>
      </c>
    </row>
    <row r="172" spans="1:15" ht="15.75">
      <c r="A172" s="3">
        <v>917</v>
      </c>
      <c r="B172">
        <f>DAY(F172)</f>
        <v>6</v>
      </c>
      <c r="C172" t="str">
        <f>TEXT(F172, "mmmm")</f>
        <v>March</v>
      </c>
      <c r="D172" s="3">
        <f>MONTH(F172)</f>
        <v>3</v>
      </c>
      <c r="E172" s="3">
        <f>YEAR(F172)</f>
        <v>2023</v>
      </c>
      <c r="F172" s="2">
        <v>44991</v>
      </c>
      <c r="G172" s="3" t="s">
        <v>356</v>
      </c>
      <c r="H172" s="3" t="s">
        <v>198</v>
      </c>
      <c r="I172" s="3">
        <v>57</v>
      </c>
      <c r="J172" s="3"/>
      <c r="K172" s="3" t="s">
        <v>196</v>
      </c>
      <c r="L172" s="3">
        <v>4</v>
      </c>
      <c r="M172" s="4">
        <v>50</v>
      </c>
      <c r="N172">
        <f>L172 * M172</f>
        <v>200</v>
      </c>
      <c r="O172" s="15">
        <f>N172 *$R$3</f>
        <v>3</v>
      </c>
    </row>
    <row r="173" spans="1:15" ht="15.75">
      <c r="A173" s="3">
        <v>936</v>
      </c>
      <c r="B173">
        <f>DAY(F173)</f>
        <v>7</v>
      </c>
      <c r="C173" t="str">
        <f>TEXT(F173, "mmmm")</f>
        <v>February</v>
      </c>
      <c r="D173" s="3">
        <f>MONTH(F173)</f>
        <v>2</v>
      </c>
      <c r="E173" s="3">
        <f>YEAR(F173)</f>
        <v>2023</v>
      </c>
      <c r="F173" s="2">
        <v>44964</v>
      </c>
      <c r="G173" s="3" t="s">
        <v>108</v>
      </c>
      <c r="H173" s="3" t="s">
        <v>18</v>
      </c>
      <c r="I173" s="3">
        <v>57</v>
      </c>
      <c r="J173" s="3"/>
      <c r="K173" s="3" t="s">
        <v>19</v>
      </c>
      <c r="L173" s="3">
        <v>4</v>
      </c>
      <c r="M173" s="4">
        <v>50</v>
      </c>
      <c r="N173">
        <f>L173 * M173</f>
        <v>200</v>
      </c>
      <c r="O173" s="15">
        <f>N173 *$R$3</f>
        <v>3</v>
      </c>
    </row>
    <row r="174" spans="1:15" ht="15.75">
      <c r="A174" s="3">
        <v>941</v>
      </c>
      <c r="B174">
        <f>DAY(F174)</f>
        <v>19</v>
      </c>
      <c r="C174" t="str">
        <f>TEXT(F174, "mmmm")</f>
        <v>March</v>
      </c>
      <c r="D174" s="3">
        <f>MONTH(F174)</f>
        <v>3</v>
      </c>
      <c r="E174" s="3">
        <f>YEAR(F174)</f>
        <v>2023</v>
      </c>
      <c r="F174" s="2">
        <v>45004</v>
      </c>
      <c r="G174" s="3" t="s">
        <v>357</v>
      </c>
      <c r="H174" s="3" t="s">
        <v>198</v>
      </c>
      <c r="I174" s="3">
        <v>57</v>
      </c>
      <c r="J174" s="3"/>
      <c r="K174" s="3" t="s">
        <v>195</v>
      </c>
      <c r="L174" s="3">
        <v>2</v>
      </c>
      <c r="M174" s="4">
        <v>25</v>
      </c>
      <c r="N174">
        <f>L174 * M174</f>
        <v>50</v>
      </c>
      <c r="O174" s="15">
        <f>N174 *$R$3</f>
        <v>0.75</v>
      </c>
    </row>
    <row r="175" spans="1:15" ht="15.75">
      <c r="A175" s="3">
        <v>943</v>
      </c>
      <c r="B175">
        <f>DAY(F175)</f>
        <v>16</v>
      </c>
      <c r="C175" t="str">
        <f>TEXT(F175, "mmmm")</f>
        <v>October</v>
      </c>
      <c r="D175" s="3">
        <f>MONTH(F175)</f>
        <v>10</v>
      </c>
      <c r="E175" s="3">
        <f>YEAR(F175)</f>
        <v>2023</v>
      </c>
      <c r="F175" s="2">
        <v>45215</v>
      </c>
      <c r="G175" s="3" t="s">
        <v>358</v>
      </c>
      <c r="H175" s="3" t="s">
        <v>198</v>
      </c>
      <c r="I175" s="3">
        <v>57</v>
      </c>
      <c r="J175" s="3"/>
      <c r="K175" s="3" t="s">
        <v>195</v>
      </c>
      <c r="L175" s="3">
        <v>4</v>
      </c>
      <c r="M175" s="4">
        <v>300</v>
      </c>
      <c r="N175">
        <f>L175 * M175</f>
        <v>1200</v>
      </c>
      <c r="O175" s="15">
        <f>N175 *$R$3</f>
        <v>18</v>
      </c>
    </row>
    <row r="176" spans="1:15" ht="15.75">
      <c r="A176" s="3">
        <v>952</v>
      </c>
      <c r="B176">
        <f>DAY(F176)</f>
        <v>13</v>
      </c>
      <c r="C176" t="str">
        <f>TEXT(F176, "mmmm")</f>
        <v>November</v>
      </c>
      <c r="D176" s="3">
        <f>MONTH(F176)</f>
        <v>11</v>
      </c>
      <c r="E176" s="3">
        <f>YEAR(F176)</f>
        <v>2023</v>
      </c>
      <c r="F176" s="2">
        <v>45243</v>
      </c>
      <c r="G176" s="3" t="s">
        <v>359</v>
      </c>
      <c r="H176" s="3" t="s">
        <v>198</v>
      </c>
      <c r="I176" s="3">
        <v>57</v>
      </c>
      <c r="J176" s="3"/>
      <c r="K176" s="3" t="s">
        <v>195</v>
      </c>
      <c r="L176" s="3">
        <v>1</v>
      </c>
      <c r="M176" s="4">
        <v>25</v>
      </c>
      <c r="N176">
        <f>L176 * M176</f>
        <v>25</v>
      </c>
      <c r="O176" s="15">
        <f>N176 *$R$3</f>
        <v>0.375</v>
      </c>
    </row>
    <row r="177" spans="1:15" ht="15.75">
      <c r="A177" s="3">
        <v>992</v>
      </c>
      <c r="B177">
        <f>DAY(F177)</f>
        <v>21</v>
      </c>
      <c r="C177" t="str">
        <f>TEXT(F177, "mmmm")</f>
        <v>August</v>
      </c>
      <c r="D177" s="3">
        <f>MONTH(F177)</f>
        <v>8</v>
      </c>
      <c r="E177" s="3">
        <f>YEAR(F177)</f>
        <v>2023</v>
      </c>
      <c r="F177" s="2">
        <v>45159</v>
      </c>
      <c r="G177" s="3" t="s">
        <v>360</v>
      </c>
      <c r="H177" s="3" t="s">
        <v>198</v>
      </c>
      <c r="I177" s="3">
        <v>57</v>
      </c>
      <c r="J177" s="3"/>
      <c r="K177" s="3" t="s">
        <v>196</v>
      </c>
      <c r="L177" s="3">
        <v>2</v>
      </c>
      <c r="M177" s="4">
        <v>30</v>
      </c>
      <c r="N177">
        <f>L177 * M177</f>
        <v>60</v>
      </c>
      <c r="O177" s="15">
        <f>N177 *$R$3</f>
        <v>0.89999999999999991</v>
      </c>
    </row>
    <row r="178" spans="1:15" ht="15.75">
      <c r="A178" s="3">
        <v>69</v>
      </c>
      <c r="B178">
        <f>DAY(F178)</f>
        <v>30</v>
      </c>
      <c r="C178" t="str">
        <f>TEXT(F178, "mmmm")</f>
        <v>April</v>
      </c>
      <c r="D178" s="3">
        <f>MONTH(F178)</f>
        <v>4</v>
      </c>
      <c r="E178" s="3">
        <f>YEAR(F178)</f>
        <v>2023</v>
      </c>
      <c r="F178" s="2">
        <v>45046</v>
      </c>
      <c r="G178" s="3" t="s">
        <v>361</v>
      </c>
      <c r="H178" s="3" t="s">
        <v>198</v>
      </c>
      <c r="I178" s="3">
        <v>56</v>
      </c>
      <c r="J178" s="3"/>
      <c r="K178" s="3" t="s">
        <v>19</v>
      </c>
      <c r="L178" s="3">
        <v>3</v>
      </c>
      <c r="M178" s="4">
        <v>25</v>
      </c>
      <c r="N178">
        <f>L178 * M178</f>
        <v>75</v>
      </c>
      <c r="O178" s="15">
        <f>N178 *$R$3</f>
        <v>1.125</v>
      </c>
    </row>
    <row r="179" spans="1:15" ht="15.75">
      <c r="A179" s="3">
        <v>88</v>
      </c>
      <c r="B179">
        <f>DAY(F179)</f>
        <v>29</v>
      </c>
      <c r="C179" t="str">
        <f>TEXT(F179, "mmmm")</f>
        <v>March</v>
      </c>
      <c r="D179" s="3">
        <f>MONTH(F179)</f>
        <v>3</v>
      </c>
      <c r="E179" s="3">
        <f>YEAR(F179)</f>
        <v>2023</v>
      </c>
      <c r="F179" s="2">
        <v>45014</v>
      </c>
      <c r="G179" s="3" t="s">
        <v>362</v>
      </c>
      <c r="H179" s="3" t="s">
        <v>18</v>
      </c>
      <c r="I179" s="3">
        <v>56</v>
      </c>
      <c r="J179" s="3"/>
      <c r="K179" s="3" t="s">
        <v>195</v>
      </c>
      <c r="L179" s="3">
        <v>1</v>
      </c>
      <c r="M179" s="4">
        <v>500</v>
      </c>
      <c r="N179">
        <f>L179 * M179</f>
        <v>500</v>
      </c>
      <c r="O179" s="15">
        <f>N179 *$R$3</f>
        <v>7.5</v>
      </c>
    </row>
    <row r="180" spans="1:15" ht="15.75">
      <c r="A180" s="3">
        <v>201</v>
      </c>
      <c r="B180">
        <f>DAY(F180)</f>
        <v>9</v>
      </c>
      <c r="C180" t="str">
        <f>TEXT(F180, "mmmm")</f>
        <v>October</v>
      </c>
      <c r="D180" s="3">
        <f>MONTH(F180)</f>
        <v>10</v>
      </c>
      <c r="E180" s="3">
        <f>YEAR(F180)</f>
        <v>2023</v>
      </c>
      <c r="F180" s="2">
        <v>45208</v>
      </c>
      <c r="G180" s="3" t="s">
        <v>363</v>
      </c>
      <c r="H180" s="3" t="s">
        <v>18</v>
      </c>
      <c r="I180" s="3">
        <v>56</v>
      </c>
      <c r="J180" s="3"/>
      <c r="K180" s="3" t="s">
        <v>196</v>
      </c>
      <c r="L180" s="3">
        <v>1</v>
      </c>
      <c r="M180" s="4">
        <v>25</v>
      </c>
      <c r="N180">
        <f>L180 * M180</f>
        <v>25</v>
      </c>
      <c r="O180" s="15">
        <f>N180 *$R$3</f>
        <v>0.375</v>
      </c>
    </row>
    <row r="181" spans="1:15" ht="15.75">
      <c r="A181" s="3">
        <v>203</v>
      </c>
      <c r="B181">
        <f>DAY(F181)</f>
        <v>16</v>
      </c>
      <c r="C181" t="str">
        <f>TEXT(F181, "mmmm")</f>
        <v>May</v>
      </c>
      <c r="D181" s="3">
        <f>MONTH(F181)</f>
        <v>5</v>
      </c>
      <c r="E181" s="3">
        <f>YEAR(F181)</f>
        <v>2023</v>
      </c>
      <c r="F181" s="2">
        <v>45062</v>
      </c>
      <c r="G181" s="3" t="s">
        <v>364</v>
      </c>
      <c r="H181" s="3" t="s">
        <v>18</v>
      </c>
      <c r="I181" s="3">
        <v>56</v>
      </c>
      <c r="J181" s="3"/>
      <c r="K181" s="3" t="s">
        <v>195</v>
      </c>
      <c r="L181" s="3">
        <v>2</v>
      </c>
      <c r="M181" s="4">
        <v>500</v>
      </c>
      <c r="N181">
        <f>L181 * M181</f>
        <v>1000</v>
      </c>
      <c r="O181" s="15">
        <f>N181 *$R$3</f>
        <v>15</v>
      </c>
    </row>
    <row r="182" spans="1:15" ht="15.75">
      <c r="A182" s="3">
        <v>351</v>
      </c>
      <c r="B182">
        <f>DAY(F182)</f>
        <v>25</v>
      </c>
      <c r="C182" t="str">
        <f>TEXT(F182, "mmmm")</f>
        <v>September</v>
      </c>
      <c r="D182" s="3">
        <f>MONTH(F182)</f>
        <v>9</v>
      </c>
      <c r="E182" s="3">
        <f>YEAR(F182)</f>
        <v>2023</v>
      </c>
      <c r="F182" s="2">
        <v>45194</v>
      </c>
      <c r="G182" s="3" t="s">
        <v>365</v>
      </c>
      <c r="H182" s="3" t="s">
        <v>198</v>
      </c>
      <c r="I182" s="3">
        <v>56</v>
      </c>
      <c r="J182" s="3"/>
      <c r="K182" s="3" t="s">
        <v>195</v>
      </c>
      <c r="L182" s="3">
        <v>3</v>
      </c>
      <c r="M182" s="4">
        <v>30</v>
      </c>
      <c r="N182">
        <f>L182 * M182</f>
        <v>90</v>
      </c>
      <c r="O182" s="15">
        <f>N182 *$R$3</f>
        <v>1.3499999999999999</v>
      </c>
    </row>
    <row r="183" spans="1:15" ht="15.75">
      <c r="A183" s="3">
        <v>368</v>
      </c>
      <c r="B183">
        <f>DAY(F183)</f>
        <v>23</v>
      </c>
      <c r="C183" t="str">
        <f>TEXT(F183, "mmmm")</f>
        <v>August</v>
      </c>
      <c r="D183" s="3">
        <f>MONTH(F183)</f>
        <v>8</v>
      </c>
      <c r="E183" s="3">
        <f>YEAR(F183)</f>
        <v>2023</v>
      </c>
      <c r="F183" s="2">
        <v>45161</v>
      </c>
      <c r="G183" s="3" t="s">
        <v>366</v>
      </c>
      <c r="H183" s="3" t="s">
        <v>198</v>
      </c>
      <c r="I183" s="3">
        <v>56</v>
      </c>
      <c r="J183" s="3"/>
      <c r="K183" s="3" t="s">
        <v>195</v>
      </c>
      <c r="L183" s="3">
        <v>4</v>
      </c>
      <c r="M183" s="4">
        <v>300</v>
      </c>
      <c r="N183">
        <f>L183 * M183</f>
        <v>1200</v>
      </c>
      <c r="O183" s="15">
        <f>N183 *$R$3</f>
        <v>18</v>
      </c>
    </row>
    <row r="184" spans="1:15" ht="15.75">
      <c r="A184" s="3">
        <v>380</v>
      </c>
      <c r="B184">
        <f>DAY(F184)</f>
        <v>6</v>
      </c>
      <c r="C184" t="str">
        <f>TEXT(F184, "mmmm")</f>
        <v>May</v>
      </c>
      <c r="D184" s="3">
        <f>MONTH(F184)</f>
        <v>5</v>
      </c>
      <c r="E184" s="3">
        <f>YEAR(F184)</f>
        <v>2023</v>
      </c>
      <c r="F184" s="2">
        <v>45052</v>
      </c>
      <c r="G184" s="3" t="s">
        <v>367</v>
      </c>
      <c r="H184" s="3" t="s">
        <v>18</v>
      </c>
      <c r="I184" s="3">
        <v>56</v>
      </c>
      <c r="J184" s="3"/>
      <c r="K184" s="3" t="s">
        <v>196</v>
      </c>
      <c r="L184" s="3">
        <v>2</v>
      </c>
      <c r="M184" s="4">
        <v>300</v>
      </c>
      <c r="N184">
        <f>L184 * M184</f>
        <v>600</v>
      </c>
      <c r="O184" s="15">
        <f>N184 *$R$3</f>
        <v>9</v>
      </c>
    </row>
    <row r="185" spans="1:15" ht="15.75">
      <c r="A185" s="3">
        <v>541</v>
      </c>
      <c r="B185">
        <f>DAY(F185)</f>
        <v>29</v>
      </c>
      <c r="C185" t="str">
        <f>TEXT(F185, "mmmm")</f>
        <v>July</v>
      </c>
      <c r="D185" s="3">
        <f>MONTH(F185)</f>
        <v>7</v>
      </c>
      <c r="E185" s="3">
        <f>YEAR(F185)</f>
        <v>2023</v>
      </c>
      <c r="F185" s="2">
        <v>45136</v>
      </c>
      <c r="G185" s="3" t="s">
        <v>123</v>
      </c>
      <c r="H185" s="3" t="s">
        <v>18</v>
      </c>
      <c r="I185" s="3">
        <v>56</v>
      </c>
      <c r="J185" s="3"/>
      <c r="K185" s="3" t="s">
        <v>19</v>
      </c>
      <c r="L185" s="3">
        <v>1</v>
      </c>
      <c r="M185" s="4">
        <v>500</v>
      </c>
      <c r="N185">
        <f>L185 * M185</f>
        <v>500</v>
      </c>
      <c r="O185" s="15">
        <f>N185 *$R$3</f>
        <v>7.5</v>
      </c>
    </row>
    <row r="186" spans="1:15" ht="15.75">
      <c r="A186" s="3">
        <v>631</v>
      </c>
      <c r="B186">
        <f>DAY(F186)</f>
        <v>10</v>
      </c>
      <c r="C186" t="str">
        <f>TEXT(F186, "mmmm")</f>
        <v>November</v>
      </c>
      <c r="D186" s="3">
        <f>MONTH(F186)</f>
        <v>11</v>
      </c>
      <c r="E186" s="3">
        <f>YEAR(F186)</f>
        <v>2023</v>
      </c>
      <c r="F186" s="2">
        <v>45240</v>
      </c>
      <c r="G186" s="3" t="s">
        <v>368</v>
      </c>
      <c r="H186" s="3" t="s">
        <v>18</v>
      </c>
      <c r="I186" s="3">
        <v>56</v>
      </c>
      <c r="J186" s="3"/>
      <c r="K186" s="3" t="s">
        <v>196</v>
      </c>
      <c r="L186" s="3">
        <v>3</v>
      </c>
      <c r="M186" s="4">
        <v>30</v>
      </c>
      <c r="N186">
        <f>L186 * M186</f>
        <v>90</v>
      </c>
      <c r="O186" s="15">
        <f>N186 *$R$3</f>
        <v>1.3499999999999999</v>
      </c>
    </row>
    <row r="187" spans="1:15" ht="15.75">
      <c r="A187" s="3">
        <v>688</v>
      </c>
      <c r="B187">
        <f>DAY(F187)</f>
        <v>3</v>
      </c>
      <c r="C187" t="str">
        <f>TEXT(F187, "mmmm")</f>
        <v>October</v>
      </c>
      <c r="D187" s="3">
        <f>MONTH(F187)</f>
        <v>10</v>
      </c>
      <c r="E187" s="3">
        <f>YEAR(F187)</f>
        <v>2023</v>
      </c>
      <c r="F187" s="2">
        <v>45202</v>
      </c>
      <c r="G187" s="3" t="s">
        <v>369</v>
      </c>
      <c r="H187" s="3" t="s">
        <v>18</v>
      </c>
      <c r="I187" s="3">
        <v>56</v>
      </c>
      <c r="J187" s="3"/>
      <c r="K187" s="3" t="s">
        <v>195</v>
      </c>
      <c r="L187" s="3">
        <v>4</v>
      </c>
      <c r="M187" s="4">
        <v>25</v>
      </c>
      <c r="N187">
        <f>L187 * M187</f>
        <v>100</v>
      </c>
      <c r="O187" s="15">
        <f>N187 *$R$3</f>
        <v>1.5</v>
      </c>
    </row>
    <row r="188" spans="1:15" ht="15.75">
      <c r="A188" s="3">
        <v>720</v>
      </c>
      <c r="B188">
        <f>DAY(F188)</f>
        <v>26</v>
      </c>
      <c r="C188" t="str">
        <f>TEXT(F188, "mmmm")</f>
        <v>January</v>
      </c>
      <c r="D188" s="3">
        <f>MONTH(F188)</f>
        <v>1</v>
      </c>
      <c r="E188" s="3">
        <f>YEAR(F188)</f>
        <v>2023</v>
      </c>
      <c r="F188" s="2">
        <v>44952</v>
      </c>
      <c r="G188" s="3" t="s">
        <v>370</v>
      </c>
      <c r="H188" s="3" t="s">
        <v>198</v>
      </c>
      <c r="I188" s="3">
        <v>56</v>
      </c>
      <c r="J188" s="3"/>
      <c r="K188" s="3" t="s">
        <v>19</v>
      </c>
      <c r="L188" s="3">
        <v>3</v>
      </c>
      <c r="M188" s="4">
        <v>500</v>
      </c>
      <c r="N188">
        <f>L188 * M188</f>
        <v>1500</v>
      </c>
      <c r="O188" s="15">
        <f>N188 *$R$3</f>
        <v>22.5</v>
      </c>
    </row>
    <row r="189" spans="1:15" ht="15.75">
      <c r="A189" s="3">
        <v>779</v>
      </c>
      <c r="B189">
        <f>DAY(F189)</f>
        <v>5</v>
      </c>
      <c r="C189" t="str">
        <f>TEXT(F189, "mmmm")</f>
        <v>May</v>
      </c>
      <c r="D189" s="3">
        <f>MONTH(F189)</f>
        <v>5</v>
      </c>
      <c r="E189" s="3">
        <f>YEAR(F189)</f>
        <v>2023</v>
      </c>
      <c r="F189" s="2">
        <v>45051</v>
      </c>
      <c r="G189" s="3" t="s">
        <v>371</v>
      </c>
      <c r="H189" s="3" t="s">
        <v>198</v>
      </c>
      <c r="I189" s="3">
        <v>56</v>
      </c>
      <c r="J189" s="3"/>
      <c r="K189" s="3" t="s">
        <v>196</v>
      </c>
      <c r="L189" s="3">
        <v>2</v>
      </c>
      <c r="M189" s="4">
        <v>500</v>
      </c>
      <c r="N189">
        <f>L189 * M189</f>
        <v>1000</v>
      </c>
      <c r="O189" s="15">
        <f>N189 *$R$3</f>
        <v>15</v>
      </c>
    </row>
    <row r="190" spans="1:15" ht="15.75">
      <c r="A190" s="3">
        <v>783</v>
      </c>
      <c r="B190">
        <f>DAY(F190)</f>
        <v>17</v>
      </c>
      <c r="C190" t="str">
        <f>TEXT(F190, "mmmm")</f>
        <v>December</v>
      </c>
      <c r="D190" s="3">
        <f>MONTH(F190)</f>
        <v>12</v>
      </c>
      <c r="E190" s="3">
        <f>YEAR(F190)</f>
        <v>2023</v>
      </c>
      <c r="F190" s="2">
        <v>45277</v>
      </c>
      <c r="G190" s="3" t="s">
        <v>372</v>
      </c>
      <c r="H190" s="3" t="s">
        <v>198</v>
      </c>
      <c r="I190" s="3">
        <v>56</v>
      </c>
      <c r="J190" s="3"/>
      <c r="K190" s="3" t="s">
        <v>195</v>
      </c>
      <c r="L190" s="3">
        <v>1</v>
      </c>
      <c r="M190" s="4">
        <v>300</v>
      </c>
      <c r="N190">
        <f>L190 * M190</f>
        <v>300</v>
      </c>
      <c r="O190" s="15">
        <f>N190 *$R$3</f>
        <v>4.5</v>
      </c>
    </row>
    <row r="191" spans="1:15" ht="15.75">
      <c r="A191" s="3">
        <v>799</v>
      </c>
      <c r="B191">
        <f>DAY(F191)</f>
        <v>8</v>
      </c>
      <c r="C191" t="str">
        <f>TEXT(F191, "mmmm")</f>
        <v>September</v>
      </c>
      <c r="D191" s="3">
        <f>MONTH(F191)</f>
        <v>9</v>
      </c>
      <c r="E191" s="3">
        <f>YEAR(F191)</f>
        <v>2023</v>
      </c>
      <c r="F191" s="2">
        <v>45177</v>
      </c>
      <c r="G191" s="3" t="s">
        <v>373</v>
      </c>
      <c r="H191" s="3" t="s">
        <v>18</v>
      </c>
      <c r="I191" s="3">
        <v>56</v>
      </c>
      <c r="J191" s="3"/>
      <c r="K191" s="3" t="s">
        <v>196</v>
      </c>
      <c r="L191" s="3">
        <v>2</v>
      </c>
      <c r="M191" s="4">
        <v>50</v>
      </c>
      <c r="N191">
        <f>L191 * M191</f>
        <v>100</v>
      </c>
      <c r="O191" s="15">
        <f>N191 *$R$3</f>
        <v>1.5</v>
      </c>
    </row>
    <row r="192" spans="1:15" ht="15.75">
      <c r="A192" s="3">
        <v>823</v>
      </c>
      <c r="B192">
        <f>DAY(F192)</f>
        <v>19</v>
      </c>
      <c r="C192" t="str">
        <f>TEXT(F192, "mmmm")</f>
        <v>August</v>
      </c>
      <c r="D192" s="3">
        <f>MONTH(F192)</f>
        <v>8</v>
      </c>
      <c r="E192" s="3">
        <f>YEAR(F192)</f>
        <v>2023</v>
      </c>
      <c r="F192" s="2">
        <v>45157</v>
      </c>
      <c r="G192" s="3" t="s">
        <v>374</v>
      </c>
      <c r="H192" s="3" t="s">
        <v>198</v>
      </c>
      <c r="I192" s="3">
        <v>56</v>
      </c>
      <c r="J192" s="3"/>
      <c r="K192" s="3" t="s">
        <v>196</v>
      </c>
      <c r="L192" s="3">
        <v>2</v>
      </c>
      <c r="M192" s="4">
        <v>50</v>
      </c>
      <c r="N192">
        <f>L192 * M192</f>
        <v>100</v>
      </c>
      <c r="O192" s="15">
        <f>N192 *$R$3</f>
        <v>1.5</v>
      </c>
    </row>
    <row r="193" spans="1:15" ht="15.75">
      <c r="A193" s="3">
        <v>834</v>
      </c>
      <c r="B193">
        <f>DAY(F193)</f>
        <v>4</v>
      </c>
      <c r="C193" t="str">
        <f>TEXT(F193, "mmmm")</f>
        <v>April</v>
      </c>
      <c r="D193" s="3">
        <f>MONTH(F193)</f>
        <v>4</v>
      </c>
      <c r="E193" s="3">
        <f>YEAR(F193)</f>
        <v>2023</v>
      </c>
      <c r="F193" s="2">
        <v>45020</v>
      </c>
      <c r="G193" s="3" t="s">
        <v>375</v>
      </c>
      <c r="H193" s="3" t="s">
        <v>198</v>
      </c>
      <c r="I193" s="3">
        <v>56</v>
      </c>
      <c r="J193" s="3"/>
      <c r="K193" s="3" t="s">
        <v>19</v>
      </c>
      <c r="L193" s="3">
        <v>2</v>
      </c>
      <c r="M193" s="4">
        <v>30</v>
      </c>
      <c r="N193">
        <f>L193 * M193</f>
        <v>60</v>
      </c>
      <c r="O193" s="15">
        <f>N193 *$R$3</f>
        <v>0.89999999999999991</v>
      </c>
    </row>
    <row r="194" spans="1:15" ht="15.75">
      <c r="A194" s="3">
        <v>859</v>
      </c>
      <c r="B194">
        <f>DAY(F194)</f>
        <v>18</v>
      </c>
      <c r="C194" t="str">
        <f>TEXT(F194, "mmmm")</f>
        <v>August</v>
      </c>
      <c r="D194" s="3">
        <f>MONTH(F194)</f>
        <v>8</v>
      </c>
      <c r="E194" s="3">
        <f>YEAR(F194)</f>
        <v>2023</v>
      </c>
      <c r="F194" s="2">
        <v>45156</v>
      </c>
      <c r="G194" s="3" t="s">
        <v>376</v>
      </c>
      <c r="H194" s="3" t="s">
        <v>198</v>
      </c>
      <c r="I194" s="3">
        <v>56</v>
      </c>
      <c r="J194" s="3"/>
      <c r="K194" s="3" t="s">
        <v>196</v>
      </c>
      <c r="L194" s="3">
        <v>3</v>
      </c>
      <c r="M194" s="4">
        <v>500</v>
      </c>
      <c r="N194">
        <f>L194 * M194</f>
        <v>1500</v>
      </c>
      <c r="O194" s="15">
        <f>N194 *$R$3</f>
        <v>22.5</v>
      </c>
    </row>
    <row r="195" spans="1:15" ht="15.75">
      <c r="A195" s="3">
        <v>975</v>
      </c>
      <c r="B195">
        <f>DAY(F195)</f>
        <v>30</v>
      </c>
      <c r="C195" t="str">
        <f>TEXT(F195, "mmmm")</f>
        <v>March</v>
      </c>
      <c r="D195" s="3">
        <f>MONTH(F195)</f>
        <v>3</v>
      </c>
      <c r="E195" s="3">
        <f>YEAR(F195)</f>
        <v>2023</v>
      </c>
      <c r="F195" s="2">
        <v>45015</v>
      </c>
      <c r="G195" s="3" t="s">
        <v>377</v>
      </c>
      <c r="H195" s="3" t="s">
        <v>198</v>
      </c>
      <c r="I195" s="3">
        <v>56</v>
      </c>
      <c r="J195" s="3"/>
      <c r="K195" s="3" t="s">
        <v>195</v>
      </c>
      <c r="L195" s="3">
        <v>4</v>
      </c>
      <c r="M195" s="4">
        <v>50</v>
      </c>
      <c r="N195">
        <f>L195 * M195</f>
        <v>200</v>
      </c>
      <c r="O195" s="15">
        <f>N195 *$R$3</f>
        <v>3</v>
      </c>
    </row>
    <row r="196" spans="1:15" ht="15.75">
      <c r="A196" s="3">
        <v>984</v>
      </c>
      <c r="B196">
        <f>DAY(F196)</f>
        <v>29</v>
      </c>
      <c r="C196" t="str">
        <f>TEXT(F196, "mmmm")</f>
        <v>August</v>
      </c>
      <c r="D196" s="3">
        <f>MONTH(F196)</f>
        <v>8</v>
      </c>
      <c r="E196" s="3">
        <f>YEAR(F196)</f>
        <v>2023</v>
      </c>
      <c r="F196" s="2">
        <v>45167</v>
      </c>
      <c r="G196" s="3" t="s">
        <v>378</v>
      </c>
      <c r="H196" s="3" t="s">
        <v>18</v>
      </c>
      <c r="I196" s="3">
        <v>56</v>
      </c>
      <c r="J196" s="3"/>
      <c r="K196" s="3" t="s">
        <v>195</v>
      </c>
      <c r="L196" s="3">
        <v>1</v>
      </c>
      <c r="M196" s="4">
        <v>500</v>
      </c>
      <c r="N196">
        <f>L196 * M196</f>
        <v>500</v>
      </c>
      <c r="O196" s="15">
        <f>N196 *$R$3</f>
        <v>7.5</v>
      </c>
    </row>
    <row r="197" spans="1:15" ht="15.75">
      <c r="A197" s="3">
        <v>45</v>
      </c>
      <c r="B197">
        <f>DAY(F197)</f>
        <v>3</v>
      </c>
      <c r="C197" t="str">
        <f>TEXT(F197, "mmmm")</f>
        <v>July</v>
      </c>
      <c r="D197" s="3">
        <f>MONTH(F197)</f>
        <v>7</v>
      </c>
      <c r="E197" s="3">
        <f>YEAR(F197)</f>
        <v>2023</v>
      </c>
      <c r="F197" s="2">
        <v>45110</v>
      </c>
      <c r="G197" s="3" t="s">
        <v>379</v>
      </c>
      <c r="H197" s="3" t="s">
        <v>198</v>
      </c>
      <c r="I197" s="3">
        <v>55</v>
      </c>
      <c r="J197" s="3"/>
      <c r="K197" s="3" t="s">
        <v>196</v>
      </c>
      <c r="L197" s="3">
        <v>1</v>
      </c>
      <c r="M197" s="4">
        <v>30</v>
      </c>
      <c r="N197">
        <f>L197 * M197</f>
        <v>30</v>
      </c>
      <c r="O197" s="15">
        <f>N197 *$R$3</f>
        <v>0.44999999999999996</v>
      </c>
    </row>
    <row r="198" spans="1:15" ht="15.75">
      <c r="A198" s="3">
        <v>89</v>
      </c>
      <c r="B198">
        <f>DAY(F198)</f>
        <v>1</v>
      </c>
      <c r="C198" t="str">
        <f>TEXT(F198, "mmmm")</f>
        <v>October</v>
      </c>
      <c r="D198" s="3">
        <f>MONTH(F198)</f>
        <v>10</v>
      </c>
      <c r="E198" s="3">
        <f>YEAR(F198)</f>
        <v>2023</v>
      </c>
      <c r="F198" s="2">
        <v>45200</v>
      </c>
      <c r="G198" s="3" t="s">
        <v>380</v>
      </c>
      <c r="H198" s="3" t="s">
        <v>198</v>
      </c>
      <c r="I198" s="3">
        <v>55</v>
      </c>
      <c r="J198" s="3"/>
      <c r="K198" s="3" t="s">
        <v>196</v>
      </c>
      <c r="L198" s="3">
        <v>4</v>
      </c>
      <c r="M198" s="4">
        <v>500</v>
      </c>
      <c r="N198">
        <f>L198 * M198</f>
        <v>2000</v>
      </c>
      <c r="O198" s="15">
        <f>N198 *$R$3</f>
        <v>30</v>
      </c>
    </row>
    <row r="199" spans="1:15" ht="15.75">
      <c r="A199" s="3">
        <v>91</v>
      </c>
      <c r="B199">
        <f>DAY(F199)</f>
        <v>25</v>
      </c>
      <c r="C199" t="str">
        <f>TEXT(F199, "mmmm")</f>
        <v>March</v>
      </c>
      <c r="D199" s="3">
        <f>MONTH(F199)</f>
        <v>3</v>
      </c>
      <c r="E199" s="3">
        <f>YEAR(F199)</f>
        <v>2023</v>
      </c>
      <c r="F199" s="2">
        <v>45010</v>
      </c>
      <c r="G199" s="3" t="s">
        <v>381</v>
      </c>
      <c r="H199" s="3" t="s">
        <v>198</v>
      </c>
      <c r="I199" s="3">
        <v>55</v>
      </c>
      <c r="J199" s="3"/>
      <c r="K199" s="3" t="s">
        <v>196</v>
      </c>
      <c r="L199" s="3">
        <v>1</v>
      </c>
      <c r="M199" s="4">
        <v>500</v>
      </c>
      <c r="N199">
        <f>L199 * M199</f>
        <v>500</v>
      </c>
      <c r="O199" s="15">
        <f>N199 *$R$3</f>
        <v>7.5</v>
      </c>
    </row>
    <row r="200" spans="1:15" ht="15.75">
      <c r="A200" s="3">
        <v>98</v>
      </c>
      <c r="B200">
        <f>DAY(F200)</f>
        <v>23</v>
      </c>
      <c r="C200" t="str">
        <f>TEXT(F200, "mmmm")</f>
        <v>April</v>
      </c>
      <c r="D200" s="3">
        <f>MONTH(F200)</f>
        <v>4</v>
      </c>
      <c r="E200" s="3">
        <f>YEAR(F200)</f>
        <v>2023</v>
      </c>
      <c r="F200" s="2">
        <v>45039</v>
      </c>
      <c r="G200" s="3" t="s">
        <v>382</v>
      </c>
      <c r="H200" s="3" t="s">
        <v>198</v>
      </c>
      <c r="I200" s="3">
        <v>55</v>
      </c>
      <c r="J200" s="3"/>
      <c r="K200" s="3" t="s">
        <v>19</v>
      </c>
      <c r="L200" s="3">
        <v>2</v>
      </c>
      <c r="M200" s="4">
        <v>50</v>
      </c>
      <c r="N200">
        <f>L200 * M200</f>
        <v>100</v>
      </c>
      <c r="O200" s="15">
        <f>N200 *$R$3</f>
        <v>1.5</v>
      </c>
    </row>
    <row r="201" spans="1:15" ht="15.75">
      <c r="A201" s="3">
        <v>194</v>
      </c>
      <c r="B201">
        <f>DAY(F201)</f>
        <v>6</v>
      </c>
      <c r="C201" t="str">
        <f>TEXT(F201, "mmmm")</f>
        <v>September</v>
      </c>
      <c r="D201" s="3">
        <f>MONTH(F201)</f>
        <v>9</v>
      </c>
      <c r="E201" s="3">
        <f>YEAR(F201)</f>
        <v>2023</v>
      </c>
      <c r="F201" s="2">
        <v>45175</v>
      </c>
      <c r="G201" s="3" t="s">
        <v>383</v>
      </c>
      <c r="H201" s="3" t="s">
        <v>18</v>
      </c>
      <c r="I201" s="3">
        <v>55</v>
      </c>
      <c r="J201" s="3"/>
      <c r="K201" s="3" t="s">
        <v>195</v>
      </c>
      <c r="L201" s="3">
        <v>4</v>
      </c>
      <c r="M201" s="4">
        <v>50</v>
      </c>
      <c r="N201">
        <f>L201 * M201</f>
        <v>200</v>
      </c>
      <c r="O201" s="15">
        <f>N201 *$R$3</f>
        <v>3</v>
      </c>
    </row>
    <row r="202" spans="1:15" ht="15.75">
      <c r="A202" s="3">
        <v>265</v>
      </c>
      <c r="B202">
        <f>DAY(F202)</f>
        <v>11</v>
      </c>
      <c r="C202" t="str">
        <f>TEXT(F202, "mmmm")</f>
        <v>December</v>
      </c>
      <c r="D202" s="3">
        <f>MONTH(F202)</f>
        <v>12</v>
      </c>
      <c r="E202" s="3">
        <f>YEAR(F202)</f>
        <v>2023</v>
      </c>
      <c r="F202" s="2">
        <v>45271</v>
      </c>
      <c r="G202" s="3" t="s">
        <v>384</v>
      </c>
      <c r="H202" s="3" t="s">
        <v>18</v>
      </c>
      <c r="I202" s="3">
        <v>55</v>
      </c>
      <c r="J202" s="3"/>
      <c r="K202" s="3" t="s">
        <v>195</v>
      </c>
      <c r="L202" s="3">
        <v>3</v>
      </c>
      <c r="M202" s="4">
        <v>300</v>
      </c>
      <c r="N202">
        <f>L202 * M202</f>
        <v>900</v>
      </c>
      <c r="O202" s="15">
        <f>N202 *$R$3</f>
        <v>13.5</v>
      </c>
    </row>
    <row r="203" spans="1:15" ht="15.75">
      <c r="A203" s="3">
        <v>286</v>
      </c>
      <c r="B203">
        <f>DAY(F203)</f>
        <v>9</v>
      </c>
      <c r="C203" t="str">
        <f>TEXT(F203, "mmmm")</f>
        <v>October</v>
      </c>
      <c r="D203" s="3">
        <f>MONTH(F203)</f>
        <v>10</v>
      </c>
      <c r="E203" s="3">
        <f>YEAR(F203)</f>
        <v>2023</v>
      </c>
      <c r="F203" s="2">
        <v>45208</v>
      </c>
      <c r="G203" s="3" t="s">
        <v>385</v>
      </c>
      <c r="H203" s="3" t="s">
        <v>18</v>
      </c>
      <c r="I203" s="3">
        <v>55</v>
      </c>
      <c r="J203" s="3"/>
      <c r="K203" s="3" t="s">
        <v>196</v>
      </c>
      <c r="L203" s="3">
        <v>2</v>
      </c>
      <c r="M203" s="4">
        <v>25</v>
      </c>
      <c r="N203">
        <f>L203 * M203</f>
        <v>50</v>
      </c>
      <c r="O203" s="15">
        <f>N203 *$R$3</f>
        <v>0.75</v>
      </c>
    </row>
    <row r="204" spans="1:15" ht="15.75">
      <c r="A204" s="3">
        <v>313</v>
      </c>
      <c r="B204">
        <f>DAY(F204)</f>
        <v>21</v>
      </c>
      <c r="C204" t="str">
        <f>TEXT(F204, "mmmm")</f>
        <v>March</v>
      </c>
      <c r="D204" s="3">
        <f>MONTH(F204)</f>
        <v>3</v>
      </c>
      <c r="E204" s="3">
        <f>YEAR(F204)</f>
        <v>2023</v>
      </c>
      <c r="F204" s="2">
        <v>45006</v>
      </c>
      <c r="G204" s="3" t="s">
        <v>386</v>
      </c>
      <c r="H204" s="3" t="s">
        <v>198</v>
      </c>
      <c r="I204" s="3">
        <v>55</v>
      </c>
      <c r="J204" s="3"/>
      <c r="K204" s="3" t="s">
        <v>19</v>
      </c>
      <c r="L204" s="3">
        <v>3</v>
      </c>
      <c r="M204" s="4">
        <v>500</v>
      </c>
      <c r="N204">
        <f>L204 * M204</f>
        <v>1500</v>
      </c>
      <c r="O204" s="15">
        <f>N204 *$R$3</f>
        <v>22.5</v>
      </c>
    </row>
    <row r="205" spans="1:15" ht="15.75">
      <c r="A205" s="3">
        <v>355</v>
      </c>
      <c r="B205">
        <f>DAY(F205)</f>
        <v>9</v>
      </c>
      <c r="C205" t="str">
        <f>TEXT(F205, "mmmm")</f>
        <v>December</v>
      </c>
      <c r="D205" s="3">
        <f>MONTH(F205)</f>
        <v>12</v>
      </c>
      <c r="E205" s="3">
        <f>YEAR(F205)</f>
        <v>2023</v>
      </c>
      <c r="F205" s="2">
        <v>45269</v>
      </c>
      <c r="G205" s="3" t="s">
        <v>387</v>
      </c>
      <c r="H205" s="3" t="s">
        <v>198</v>
      </c>
      <c r="I205" s="3">
        <v>55</v>
      </c>
      <c r="J205" s="3"/>
      <c r="K205" s="3" t="s">
        <v>196</v>
      </c>
      <c r="L205" s="3">
        <v>1</v>
      </c>
      <c r="M205" s="4">
        <v>500</v>
      </c>
      <c r="N205">
        <f>L205 * M205</f>
        <v>500</v>
      </c>
      <c r="O205" s="15">
        <f>N205 *$R$3</f>
        <v>7.5</v>
      </c>
    </row>
    <row r="206" spans="1:15" ht="15.75">
      <c r="A206" s="3">
        <v>384</v>
      </c>
      <c r="B206">
        <f>DAY(F206)</f>
        <v>13</v>
      </c>
      <c r="C206" t="str">
        <f>TEXT(F206, "mmmm")</f>
        <v>August</v>
      </c>
      <c r="D206" s="3">
        <f>MONTH(F206)</f>
        <v>8</v>
      </c>
      <c r="E206" s="3">
        <f>YEAR(F206)</f>
        <v>2023</v>
      </c>
      <c r="F206" s="2">
        <v>45151</v>
      </c>
      <c r="G206" s="3" t="s">
        <v>388</v>
      </c>
      <c r="H206" s="3" t="s">
        <v>18</v>
      </c>
      <c r="I206" s="3">
        <v>55</v>
      </c>
      <c r="J206" s="3"/>
      <c r="K206" s="3" t="s">
        <v>195</v>
      </c>
      <c r="L206" s="3">
        <v>1</v>
      </c>
      <c r="M206" s="4">
        <v>500</v>
      </c>
      <c r="N206">
        <f>L206 * M206</f>
        <v>500</v>
      </c>
      <c r="O206" s="15">
        <f>N206 *$R$3</f>
        <v>7.5</v>
      </c>
    </row>
    <row r="207" spans="1:15" ht="15.75">
      <c r="A207" s="3">
        <v>396</v>
      </c>
      <c r="B207">
        <f>DAY(F207)</f>
        <v>23</v>
      </c>
      <c r="C207" t="str">
        <f>TEXT(F207, "mmmm")</f>
        <v>February</v>
      </c>
      <c r="D207" s="3">
        <f>MONTH(F207)</f>
        <v>2</v>
      </c>
      <c r="E207" s="3">
        <f>YEAR(F207)</f>
        <v>2023</v>
      </c>
      <c r="F207" s="2">
        <v>44980</v>
      </c>
      <c r="G207" s="3" t="s">
        <v>389</v>
      </c>
      <c r="H207" s="3" t="s">
        <v>198</v>
      </c>
      <c r="I207" s="3">
        <v>55</v>
      </c>
      <c r="J207" s="3"/>
      <c r="K207" s="3" t="s">
        <v>19</v>
      </c>
      <c r="L207" s="3">
        <v>1</v>
      </c>
      <c r="M207" s="4">
        <v>30</v>
      </c>
      <c r="N207">
        <f>L207 * M207</f>
        <v>30</v>
      </c>
      <c r="O207" s="15">
        <f>N207 *$R$3</f>
        <v>0.44999999999999996</v>
      </c>
    </row>
    <row r="208" spans="1:15" ht="15.75">
      <c r="A208" s="3">
        <v>425</v>
      </c>
      <c r="B208">
        <f>DAY(F208)</f>
        <v>15</v>
      </c>
      <c r="C208" t="str">
        <f>TEXT(F208, "mmmm")</f>
        <v>May</v>
      </c>
      <c r="D208" s="3">
        <f>MONTH(F208)</f>
        <v>5</v>
      </c>
      <c r="E208" s="3">
        <f>YEAR(F208)</f>
        <v>2023</v>
      </c>
      <c r="F208" s="2">
        <v>45061</v>
      </c>
      <c r="G208" s="3" t="s">
        <v>390</v>
      </c>
      <c r="H208" s="3" t="s">
        <v>198</v>
      </c>
      <c r="I208" s="3">
        <v>55</v>
      </c>
      <c r="J208" s="3"/>
      <c r="K208" s="3" t="s">
        <v>196</v>
      </c>
      <c r="L208" s="3">
        <v>4</v>
      </c>
      <c r="M208" s="4">
        <v>30</v>
      </c>
      <c r="N208">
        <f>L208 * M208</f>
        <v>120</v>
      </c>
      <c r="O208" s="15">
        <f>N208 *$R$3</f>
        <v>1.7999999999999998</v>
      </c>
    </row>
    <row r="209" spans="1:15" ht="15.75">
      <c r="A209" s="3">
        <v>483</v>
      </c>
      <c r="B209">
        <f>DAY(F209)</f>
        <v>25</v>
      </c>
      <c r="C209" t="str">
        <f>TEXT(F209, "mmmm")</f>
        <v>April</v>
      </c>
      <c r="D209" s="3">
        <f>MONTH(F209)</f>
        <v>4</v>
      </c>
      <c r="E209" s="3">
        <f>YEAR(F209)</f>
        <v>2023</v>
      </c>
      <c r="F209" s="2">
        <v>45041</v>
      </c>
      <c r="G209" s="3" t="s">
        <v>391</v>
      </c>
      <c r="H209" s="3" t="s">
        <v>18</v>
      </c>
      <c r="I209" s="3">
        <v>55</v>
      </c>
      <c r="J209" s="3"/>
      <c r="K209" s="3" t="s">
        <v>195</v>
      </c>
      <c r="L209" s="3">
        <v>1</v>
      </c>
      <c r="M209" s="4">
        <v>30</v>
      </c>
      <c r="N209">
        <f>L209 * M209</f>
        <v>30</v>
      </c>
      <c r="O209" s="15">
        <f>N209 *$R$3</f>
        <v>0.44999999999999996</v>
      </c>
    </row>
    <row r="210" spans="1:15" ht="15.75">
      <c r="A210" s="3">
        <v>536</v>
      </c>
      <c r="B210">
        <f>DAY(F210)</f>
        <v>5</v>
      </c>
      <c r="C210" t="str">
        <f>TEXT(F210, "mmmm")</f>
        <v>March</v>
      </c>
      <c r="D210" s="3">
        <f>MONTH(F210)</f>
        <v>3</v>
      </c>
      <c r="E210" s="3">
        <f>YEAR(F210)</f>
        <v>2023</v>
      </c>
      <c r="F210" s="2">
        <v>44990</v>
      </c>
      <c r="G210" s="3" t="s">
        <v>392</v>
      </c>
      <c r="H210" s="3" t="s">
        <v>198</v>
      </c>
      <c r="I210" s="3">
        <v>55</v>
      </c>
      <c r="J210" s="3"/>
      <c r="K210" s="3" t="s">
        <v>19</v>
      </c>
      <c r="L210" s="3">
        <v>4</v>
      </c>
      <c r="M210" s="4">
        <v>30</v>
      </c>
      <c r="N210">
        <f>L210 * M210</f>
        <v>120</v>
      </c>
      <c r="O210" s="15">
        <f>N210 *$R$3</f>
        <v>1.7999999999999998</v>
      </c>
    </row>
    <row r="211" spans="1:15" ht="15.75">
      <c r="A211" s="3">
        <v>608</v>
      </c>
      <c r="B211">
        <f>DAY(F211)</f>
        <v>2</v>
      </c>
      <c r="C211" t="str">
        <f>TEXT(F211, "mmmm")</f>
        <v>December</v>
      </c>
      <c r="D211" s="3">
        <f>MONTH(F211)</f>
        <v>12</v>
      </c>
      <c r="E211" s="3">
        <f>YEAR(F211)</f>
        <v>2023</v>
      </c>
      <c r="F211" s="2">
        <v>45262</v>
      </c>
      <c r="G211" s="3" t="s">
        <v>393</v>
      </c>
      <c r="H211" s="3" t="s">
        <v>198</v>
      </c>
      <c r="I211" s="3">
        <v>55</v>
      </c>
      <c r="J211" s="3"/>
      <c r="K211" s="3" t="s">
        <v>196</v>
      </c>
      <c r="L211" s="3">
        <v>3</v>
      </c>
      <c r="M211" s="4">
        <v>500</v>
      </c>
      <c r="N211">
        <f>L211 * M211</f>
        <v>1500</v>
      </c>
      <c r="O211" s="15">
        <f>N211 *$R$3</f>
        <v>22.5</v>
      </c>
    </row>
    <row r="212" spans="1:15" ht="15.75">
      <c r="A212" s="3">
        <v>650</v>
      </c>
      <c r="B212">
        <f>DAY(F212)</f>
        <v>1</v>
      </c>
      <c r="C212" t="str">
        <f>TEXT(F212, "mmmm")</f>
        <v>January</v>
      </c>
      <c r="D212" s="3">
        <f>MONTH(F212)</f>
        <v>1</v>
      </c>
      <c r="E212" s="3">
        <f>YEAR(F212)</f>
        <v>2024</v>
      </c>
      <c r="F212" s="2">
        <v>45292</v>
      </c>
      <c r="G212" s="3" t="s">
        <v>394</v>
      </c>
      <c r="H212" s="3" t="s">
        <v>18</v>
      </c>
      <c r="I212" s="3">
        <v>55</v>
      </c>
      <c r="J212" s="3"/>
      <c r="K212" s="3" t="s">
        <v>196</v>
      </c>
      <c r="L212" s="3">
        <v>1</v>
      </c>
      <c r="M212" s="4">
        <v>30</v>
      </c>
      <c r="N212">
        <f>L212 * M212</f>
        <v>30</v>
      </c>
      <c r="O212" s="15">
        <f>N212 *$R$3</f>
        <v>0.44999999999999996</v>
      </c>
    </row>
    <row r="213" spans="1:15" ht="15.75">
      <c r="A213" s="3">
        <v>655</v>
      </c>
      <c r="B213">
        <f>DAY(F213)</f>
        <v>13</v>
      </c>
      <c r="C213" t="str">
        <f>TEXT(F213, "mmmm")</f>
        <v>June</v>
      </c>
      <c r="D213" s="3">
        <f>MONTH(F213)</f>
        <v>6</v>
      </c>
      <c r="E213" s="3">
        <f>YEAR(F213)</f>
        <v>2023</v>
      </c>
      <c r="F213" s="2">
        <v>45090</v>
      </c>
      <c r="G213" s="3" t="s">
        <v>395</v>
      </c>
      <c r="H213" s="3" t="s">
        <v>198</v>
      </c>
      <c r="I213" s="3">
        <v>55</v>
      </c>
      <c r="J213" s="3"/>
      <c r="K213" s="3" t="s">
        <v>195</v>
      </c>
      <c r="L213" s="3">
        <v>1</v>
      </c>
      <c r="M213" s="4">
        <v>500</v>
      </c>
      <c r="N213">
        <f>L213 * M213</f>
        <v>500</v>
      </c>
      <c r="O213" s="15">
        <f>N213 *$R$3</f>
        <v>7.5</v>
      </c>
    </row>
    <row r="214" spans="1:15" ht="15.75">
      <c r="A214" s="3">
        <v>727</v>
      </c>
      <c r="B214">
        <f>DAY(F214)</f>
        <v>22</v>
      </c>
      <c r="C214" t="str">
        <f>TEXT(F214, "mmmm")</f>
        <v>June</v>
      </c>
      <c r="D214" s="3">
        <f>MONTH(F214)</f>
        <v>6</v>
      </c>
      <c r="E214" s="3">
        <f>YEAR(F214)</f>
        <v>2023</v>
      </c>
      <c r="F214" s="2">
        <v>45099</v>
      </c>
      <c r="G214" s="3" t="s">
        <v>134</v>
      </c>
      <c r="H214" s="3" t="s">
        <v>18</v>
      </c>
      <c r="I214" s="3">
        <v>55</v>
      </c>
      <c r="J214" s="3"/>
      <c r="K214" s="3" t="s">
        <v>19</v>
      </c>
      <c r="L214" s="3">
        <v>3</v>
      </c>
      <c r="M214" s="4">
        <v>300</v>
      </c>
      <c r="N214">
        <f>L214 * M214</f>
        <v>900</v>
      </c>
      <c r="O214" s="15">
        <f>N214 *$R$3</f>
        <v>13.5</v>
      </c>
    </row>
    <row r="215" spans="1:15" ht="15.75">
      <c r="A215" s="3">
        <v>895</v>
      </c>
      <c r="B215">
        <f>DAY(F215)</f>
        <v>22</v>
      </c>
      <c r="C215" t="str">
        <f>TEXT(F215, "mmmm")</f>
        <v>May</v>
      </c>
      <c r="D215" s="3">
        <f>MONTH(F215)</f>
        <v>5</v>
      </c>
      <c r="E215" s="3">
        <f>YEAR(F215)</f>
        <v>2023</v>
      </c>
      <c r="F215" s="2">
        <v>45068</v>
      </c>
      <c r="G215" s="3" t="s">
        <v>396</v>
      </c>
      <c r="H215" s="3" t="s">
        <v>198</v>
      </c>
      <c r="I215" s="3">
        <v>55</v>
      </c>
      <c r="J215" s="3"/>
      <c r="K215" s="3" t="s">
        <v>195</v>
      </c>
      <c r="L215" s="3">
        <v>4</v>
      </c>
      <c r="M215" s="4">
        <v>30</v>
      </c>
      <c r="N215">
        <f>L215 * M215</f>
        <v>120</v>
      </c>
      <c r="O215" s="15">
        <f>N215 *$R$3</f>
        <v>1.7999999999999998</v>
      </c>
    </row>
    <row r="216" spans="1:15" ht="15.75">
      <c r="A216" s="3">
        <v>924</v>
      </c>
      <c r="B216">
        <f>DAY(F216)</f>
        <v>29</v>
      </c>
      <c r="C216" t="str">
        <f>TEXT(F216, "mmmm")</f>
        <v>August</v>
      </c>
      <c r="D216" s="3">
        <f>MONTH(F216)</f>
        <v>8</v>
      </c>
      <c r="E216" s="3">
        <f>YEAR(F216)</f>
        <v>2023</v>
      </c>
      <c r="F216" s="2">
        <v>45167</v>
      </c>
      <c r="G216" s="3" t="s">
        <v>84</v>
      </c>
      <c r="H216" s="3" t="s">
        <v>18</v>
      </c>
      <c r="I216" s="3">
        <v>55</v>
      </c>
      <c r="J216" s="3"/>
      <c r="K216" s="3" t="s">
        <v>19</v>
      </c>
      <c r="L216" s="3">
        <v>2</v>
      </c>
      <c r="M216" s="4">
        <v>50</v>
      </c>
      <c r="N216">
        <f>L216 * M216</f>
        <v>100</v>
      </c>
      <c r="O216" s="15">
        <f>N216 *$R$3</f>
        <v>1.5</v>
      </c>
    </row>
    <row r="217" spans="1:15" ht="15.75">
      <c r="A217" s="3">
        <v>963</v>
      </c>
      <c r="B217">
        <f>DAY(F217)</f>
        <v>14</v>
      </c>
      <c r="C217" t="str">
        <f>TEXT(F217, "mmmm")</f>
        <v>November</v>
      </c>
      <c r="D217" s="3">
        <f>MONTH(F217)</f>
        <v>11</v>
      </c>
      <c r="E217" s="3">
        <f>YEAR(F217)</f>
        <v>2023</v>
      </c>
      <c r="F217" s="2">
        <v>45244</v>
      </c>
      <c r="G217" s="3" t="s">
        <v>397</v>
      </c>
      <c r="H217" s="3" t="s">
        <v>198</v>
      </c>
      <c r="I217" s="3">
        <v>55</v>
      </c>
      <c r="J217" s="3"/>
      <c r="K217" s="3" t="s">
        <v>19</v>
      </c>
      <c r="L217" s="3">
        <v>1</v>
      </c>
      <c r="M217" s="4">
        <v>50</v>
      </c>
      <c r="N217">
        <f>L217 * M217</f>
        <v>50</v>
      </c>
      <c r="O217" s="15">
        <f>N217 *$R$3</f>
        <v>0.75</v>
      </c>
    </row>
    <row r="218" spans="1:15" ht="15.75">
      <c r="A218" s="3">
        <v>48</v>
      </c>
      <c r="B218">
        <f>DAY(F218)</f>
        <v>16</v>
      </c>
      <c r="C218" t="str">
        <f>TEXT(F218, "mmmm")</f>
        <v>May</v>
      </c>
      <c r="D218" s="3">
        <f>MONTH(F218)</f>
        <v>5</v>
      </c>
      <c r="E218" s="3">
        <f>YEAR(F218)</f>
        <v>2023</v>
      </c>
      <c r="F218" s="2">
        <v>45062</v>
      </c>
      <c r="G218" s="3" t="s">
        <v>398</v>
      </c>
      <c r="H218" s="3" t="s">
        <v>18</v>
      </c>
      <c r="I218" s="3">
        <v>54</v>
      </c>
      <c r="J218" s="3"/>
      <c r="K218" s="3" t="s">
        <v>196</v>
      </c>
      <c r="L218" s="3">
        <v>3</v>
      </c>
      <c r="M218" s="4">
        <v>300</v>
      </c>
      <c r="N218">
        <f>L218 * M218</f>
        <v>900</v>
      </c>
      <c r="O218" s="15">
        <f>N218 *$R$3</f>
        <v>13.5</v>
      </c>
    </row>
    <row r="219" spans="1:15" ht="15.75">
      <c r="A219" s="3">
        <v>49</v>
      </c>
      <c r="B219">
        <f>DAY(F219)</f>
        <v>23</v>
      </c>
      <c r="C219" t="str">
        <f>TEXT(F219, "mmmm")</f>
        <v>January</v>
      </c>
      <c r="D219" s="3">
        <f>MONTH(F219)</f>
        <v>1</v>
      </c>
      <c r="E219" s="3">
        <f>YEAR(F219)</f>
        <v>2023</v>
      </c>
      <c r="F219" s="2">
        <v>44949</v>
      </c>
      <c r="G219" s="3" t="s">
        <v>399</v>
      </c>
      <c r="H219" s="3" t="s">
        <v>198</v>
      </c>
      <c r="I219" s="3">
        <v>54</v>
      </c>
      <c r="J219" s="3"/>
      <c r="K219" s="3" t="s">
        <v>196</v>
      </c>
      <c r="L219" s="3">
        <v>2</v>
      </c>
      <c r="M219" s="4">
        <v>500</v>
      </c>
      <c r="N219">
        <f>L219 * M219</f>
        <v>1000</v>
      </c>
      <c r="O219" s="15">
        <f>N219 *$R$3</f>
        <v>15</v>
      </c>
    </row>
    <row r="220" spans="1:15" ht="15.75">
      <c r="A220" s="3">
        <v>83</v>
      </c>
      <c r="B220">
        <f>DAY(F220)</f>
        <v>16</v>
      </c>
      <c r="C220" t="str">
        <f>TEXT(F220, "mmmm")</f>
        <v>December</v>
      </c>
      <c r="D220" s="3">
        <f>MONTH(F220)</f>
        <v>12</v>
      </c>
      <c r="E220" s="3">
        <f>YEAR(F220)</f>
        <v>2023</v>
      </c>
      <c r="F220" s="2">
        <v>45276</v>
      </c>
      <c r="G220" s="3" t="s">
        <v>400</v>
      </c>
      <c r="H220" s="3" t="s">
        <v>18</v>
      </c>
      <c r="I220" s="3">
        <v>54</v>
      </c>
      <c r="J220" s="3"/>
      <c r="K220" s="3" t="s">
        <v>196</v>
      </c>
      <c r="L220" s="3">
        <v>2</v>
      </c>
      <c r="M220" s="4">
        <v>50</v>
      </c>
      <c r="N220">
        <f>L220 * M220</f>
        <v>100</v>
      </c>
      <c r="O220" s="15">
        <f>N220 *$R$3</f>
        <v>1.5</v>
      </c>
    </row>
    <row r="221" spans="1:15" ht="15.75">
      <c r="A221" s="3">
        <v>198</v>
      </c>
      <c r="B221">
        <f>DAY(F221)</f>
        <v>7</v>
      </c>
      <c r="C221" t="str">
        <f>TEXT(F221, "mmmm")</f>
        <v>March</v>
      </c>
      <c r="D221" s="3">
        <f>MONTH(F221)</f>
        <v>3</v>
      </c>
      <c r="E221" s="3">
        <f>YEAR(F221)</f>
        <v>2023</v>
      </c>
      <c r="F221" s="2">
        <v>44992</v>
      </c>
      <c r="G221" s="3" t="s">
        <v>401</v>
      </c>
      <c r="H221" s="3" t="s">
        <v>198</v>
      </c>
      <c r="I221" s="3">
        <v>54</v>
      </c>
      <c r="J221" s="3"/>
      <c r="K221" s="3" t="s">
        <v>19</v>
      </c>
      <c r="L221" s="3">
        <v>3</v>
      </c>
      <c r="M221" s="4">
        <v>300</v>
      </c>
      <c r="N221">
        <f>L221 * M221</f>
        <v>900</v>
      </c>
      <c r="O221" s="15">
        <f>N221 *$R$3</f>
        <v>13.5</v>
      </c>
    </row>
    <row r="222" spans="1:15" ht="15.75">
      <c r="A222" s="3">
        <v>230</v>
      </c>
      <c r="B222">
        <f>DAY(F222)</f>
        <v>23</v>
      </c>
      <c r="C222" t="str">
        <f>TEXT(F222, "mmmm")</f>
        <v>April</v>
      </c>
      <c r="D222" s="3">
        <f>MONTH(F222)</f>
        <v>4</v>
      </c>
      <c r="E222" s="3">
        <f>YEAR(F222)</f>
        <v>2023</v>
      </c>
      <c r="F222" s="2">
        <v>45039</v>
      </c>
      <c r="G222" s="3" t="s">
        <v>28</v>
      </c>
      <c r="H222" s="3" t="s">
        <v>18</v>
      </c>
      <c r="I222" s="3">
        <v>54</v>
      </c>
      <c r="J222" s="3"/>
      <c r="K222" s="3" t="s">
        <v>19</v>
      </c>
      <c r="L222" s="3">
        <v>1</v>
      </c>
      <c r="M222" s="4">
        <v>25</v>
      </c>
      <c r="N222">
        <f>L222 * M222</f>
        <v>25</v>
      </c>
      <c r="O222" s="15">
        <f>N222 *$R$3</f>
        <v>0.375</v>
      </c>
    </row>
    <row r="223" spans="1:15" ht="15.75">
      <c r="A223" s="3">
        <v>236</v>
      </c>
      <c r="B223">
        <f>DAY(F223)</f>
        <v>28</v>
      </c>
      <c r="C223" t="str">
        <f>TEXT(F223, "mmmm")</f>
        <v>April</v>
      </c>
      <c r="D223" s="3">
        <f>MONTH(F223)</f>
        <v>4</v>
      </c>
      <c r="E223" s="3">
        <f>YEAR(F223)</f>
        <v>2023</v>
      </c>
      <c r="F223" s="2">
        <v>45044</v>
      </c>
      <c r="G223" s="3" t="s">
        <v>402</v>
      </c>
      <c r="H223" s="3" t="s">
        <v>198</v>
      </c>
      <c r="I223" s="3">
        <v>54</v>
      </c>
      <c r="J223" s="3"/>
      <c r="K223" s="3" t="s">
        <v>195</v>
      </c>
      <c r="L223" s="3">
        <v>1</v>
      </c>
      <c r="M223" s="4">
        <v>25</v>
      </c>
      <c r="N223">
        <f>L223 * M223</f>
        <v>25</v>
      </c>
      <c r="O223" s="15">
        <f>N223 *$R$3</f>
        <v>0.375</v>
      </c>
    </row>
    <row r="224" spans="1:15" ht="15.75">
      <c r="A224" s="3">
        <v>252</v>
      </c>
      <c r="B224">
        <f>DAY(F224)</f>
        <v>5</v>
      </c>
      <c r="C224" t="str">
        <f>TEXT(F224, "mmmm")</f>
        <v>May</v>
      </c>
      <c r="D224" s="3">
        <f>MONTH(F224)</f>
        <v>5</v>
      </c>
      <c r="E224" s="3">
        <f>YEAR(F224)</f>
        <v>2023</v>
      </c>
      <c r="F224" s="2">
        <v>45051</v>
      </c>
      <c r="G224" s="3" t="s">
        <v>403</v>
      </c>
      <c r="H224" s="3" t="s">
        <v>18</v>
      </c>
      <c r="I224" s="3">
        <v>54</v>
      </c>
      <c r="J224" s="3"/>
      <c r="K224" s="3" t="s">
        <v>196</v>
      </c>
      <c r="L224" s="3">
        <v>1</v>
      </c>
      <c r="M224" s="4">
        <v>300</v>
      </c>
      <c r="N224">
        <f>L224 * M224</f>
        <v>300</v>
      </c>
      <c r="O224" s="15">
        <f>N224 *$R$3</f>
        <v>4.5</v>
      </c>
    </row>
    <row r="225" spans="1:15" ht="15.75">
      <c r="A225" s="3">
        <v>287</v>
      </c>
      <c r="B225">
        <f>DAY(F225)</f>
        <v>20</v>
      </c>
      <c r="C225" t="str">
        <f>TEXT(F225, "mmmm")</f>
        <v>February</v>
      </c>
      <c r="D225" s="3">
        <f>MONTH(F225)</f>
        <v>2</v>
      </c>
      <c r="E225" s="3">
        <f>YEAR(F225)</f>
        <v>2023</v>
      </c>
      <c r="F225" s="2">
        <v>44977</v>
      </c>
      <c r="G225" s="3" t="s">
        <v>404</v>
      </c>
      <c r="H225" s="3" t="s">
        <v>18</v>
      </c>
      <c r="I225" s="3">
        <v>54</v>
      </c>
      <c r="J225" s="3"/>
      <c r="K225" s="3" t="s">
        <v>195</v>
      </c>
      <c r="L225" s="3">
        <v>4</v>
      </c>
      <c r="M225" s="4">
        <v>25</v>
      </c>
      <c r="N225">
        <f>L225 * M225</f>
        <v>100</v>
      </c>
      <c r="O225" s="15">
        <f>N225 *$R$3</f>
        <v>1.5</v>
      </c>
    </row>
    <row r="226" spans="1:15" ht="15.75">
      <c r="A226" s="3">
        <v>306</v>
      </c>
      <c r="B226">
        <f>DAY(F226)</f>
        <v>21</v>
      </c>
      <c r="C226" t="str">
        <f>TEXT(F226, "mmmm")</f>
        <v>August</v>
      </c>
      <c r="D226" s="3">
        <f>MONTH(F226)</f>
        <v>8</v>
      </c>
      <c r="E226" s="3">
        <f>YEAR(F226)</f>
        <v>2023</v>
      </c>
      <c r="F226" s="2">
        <v>45159</v>
      </c>
      <c r="G226" s="3" t="s">
        <v>405</v>
      </c>
      <c r="H226" s="3" t="s">
        <v>18</v>
      </c>
      <c r="I226" s="3">
        <v>54</v>
      </c>
      <c r="J226" s="3"/>
      <c r="K226" s="3" t="s">
        <v>196</v>
      </c>
      <c r="L226" s="3">
        <v>1</v>
      </c>
      <c r="M226" s="4">
        <v>50</v>
      </c>
      <c r="N226">
        <f>L226 * M226</f>
        <v>50</v>
      </c>
      <c r="O226" s="15">
        <f>N226 *$R$3</f>
        <v>0.75</v>
      </c>
    </row>
    <row r="227" spans="1:15" ht="15.75">
      <c r="A227" s="3">
        <v>333</v>
      </c>
      <c r="B227">
        <f>DAY(F227)</f>
        <v>5</v>
      </c>
      <c r="C227" t="str">
        <f>TEXT(F227, "mmmm")</f>
        <v>February</v>
      </c>
      <c r="D227" s="3">
        <f>MONTH(F227)</f>
        <v>2</v>
      </c>
      <c r="E227" s="3">
        <f>YEAR(F227)</f>
        <v>2023</v>
      </c>
      <c r="F227" s="2">
        <v>44962</v>
      </c>
      <c r="G227" s="3" t="s">
        <v>406</v>
      </c>
      <c r="H227" s="3" t="s">
        <v>198</v>
      </c>
      <c r="I227" s="3">
        <v>54</v>
      </c>
      <c r="J227" s="3"/>
      <c r="K227" s="3" t="s">
        <v>196</v>
      </c>
      <c r="L227" s="3">
        <v>4</v>
      </c>
      <c r="M227" s="4">
        <v>300</v>
      </c>
      <c r="N227">
        <f>L227 * M227</f>
        <v>1200</v>
      </c>
      <c r="O227" s="15">
        <f>N227 *$R$3</f>
        <v>18</v>
      </c>
    </row>
    <row r="228" spans="1:15" ht="15.75">
      <c r="A228" s="3">
        <v>338</v>
      </c>
      <c r="B228">
        <f>DAY(F228)</f>
        <v>26</v>
      </c>
      <c r="C228" t="str">
        <f>TEXT(F228, "mmmm")</f>
        <v>July</v>
      </c>
      <c r="D228" s="3">
        <f>MONTH(F228)</f>
        <v>7</v>
      </c>
      <c r="E228" s="3">
        <f>YEAR(F228)</f>
        <v>2023</v>
      </c>
      <c r="F228" s="2">
        <v>45133</v>
      </c>
      <c r="G228" s="3" t="s">
        <v>91</v>
      </c>
      <c r="H228" s="3" t="s">
        <v>18</v>
      </c>
      <c r="I228" s="3">
        <v>54</v>
      </c>
      <c r="J228" s="3"/>
      <c r="K228" s="3" t="s">
        <v>19</v>
      </c>
      <c r="L228" s="3">
        <v>2</v>
      </c>
      <c r="M228" s="4">
        <v>50</v>
      </c>
      <c r="N228">
        <f>L228 * M228</f>
        <v>100</v>
      </c>
      <c r="O228" s="15">
        <f>N228 *$R$3</f>
        <v>1.5</v>
      </c>
    </row>
    <row r="229" spans="1:15" ht="15.75">
      <c r="A229" s="3">
        <v>386</v>
      </c>
      <c r="B229">
        <f>DAY(F229)</f>
        <v>27</v>
      </c>
      <c r="C229" t="str">
        <f>TEXT(F229, "mmmm")</f>
        <v>December</v>
      </c>
      <c r="D229" s="3">
        <f>MONTH(F229)</f>
        <v>12</v>
      </c>
      <c r="E229" s="3">
        <f>YEAR(F229)</f>
        <v>2023</v>
      </c>
      <c r="F229" s="2">
        <v>45287</v>
      </c>
      <c r="G229" s="3" t="s">
        <v>407</v>
      </c>
      <c r="H229" s="3" t="s">
        <v>198</v>
      </c>
      <c r="I229" s="3">
        <v>54</v>
      </c>
      <c r="J229" s="3"/>
      <c r="K229" s="3" t="s">
        <v>196</v>
      </c>
      <c r="L229" s="3">
        <v>2</v>
      </c>
      <c r="M229" s="4">
        <v>300</v>
      </c>
      <c r="N229">
        <f>L229 * M229</f>
        <v>600</v>
      </c>
      <c r="O229" s="15">
        <f>N229 *$R$3</f>
        <v>9</v>
      </c>
    </row>
    <row r="230" spans="1:15" ht="15.75">
      <c r="A230" s="3">
        <v>448</v>
      </c>
      <c r="B230">
        <f>DAY(F230)</f>
        <v>21</v>
      </c>
      <c r="C230" t="str">
        <f>TEXT(F230, "mmmm")</f>
        <v>January</v>
      </c>
      <c r="D230" s="3">
        <f>MONTH(F230)</f>
        <v>1</v>
      </c>
      <c r="E230" s="3">
        <f>YEAR(F230)</f>
        <v>2023</v>
      </c>
      <c r="F230" s="2">
        <v>44947</v>
      </c>
      <c r="G230" s="3" t="s">
        <v>408</v>
      </c>
      <c r="H230" s="3" t="s">
        <v>198</v>
      </c>
      <c r="I230" s="3">
        <v>54</v>
      </c>
      <c r="J230" s="3"/>
      <c r="K230" s="3" t="s">
        <v>19</v>
      </c>
      <c r="L230" s="3">
        <v>2</v>
      </c>
      <c r="M230" s="4">
        <v>30</v>
      </c>
      <c r="N230">
        <f>L230 * M230</f>
        <v>60</v>
      </c>
      <c r="O230" s="15">
        <f>N230 *$R$3</f>
        <v>0.89999999999999991</v>
      </c>
    </row>
    <row r="231" spans="1:15" ht="15.75">
      <c r="A231" s="3">
        <v>463</v>
      </c>
      <c r="B231">
        <f>DAY(F231)</f>
        <v>31</v>
      </c>
      <c r="C231" t="str">
        <f>TEXT(F231, "mmmm")</f>
        <v>July</v>
      </c>
      <c r="D231" s="3">
        <f>MONTH(F231)</f>
        <v>7</v>
      </c>
      <c r="E231" s="3">
        <f>YEAR(F231)</f>
        <v>2023</v>
      </c>
      <c r="F231" s="2">
        <v>45138</v>
      </c>
      <c r="G231" s="3" t="s">
        <v>409</v>
      </c>
      <c r="H231" s="3" t="s">
        <v>198</v>
      </c>
      <c r="I231" s="3">
        <v>54</v>
      </c>
      <c r="J231" s="3"/>
      <c r="K231" s="3" t="s">
        <v>19</v>
      </c>
      <c r="L231" s="3">
        <v>3</v>
      </c>
      <c r="M231" s="4">
        <v>500</v>
      </c>
      <c r="N231">
        <f>L231 * M231</f>
        <v>1500</v>
      </c>
      <c r="O231" s="15">
        <f>N231 *$R$3</f>
        <v>22.5</v>
      </c>
    </row>
    <row r="232" spans="1:15" ht="15.75">
      <c r="A232" s="3">
        <v>562</v>
      </c>
      <c r="B232">
        <f>DAY(F232)</f>
        <v>18</v>
      </c>
      <c r="C232" t="str">
        <f>TEXT(F232, "mmmm")</f>
        <v>April</v>
      </c>
      <c r="D232" s="3">
        <f>MONTH(F232)</f>
        <v>4</v>
      </c>
      <c r="E232" s="3">
        <f>YEAR(F232)</f>
        <v>2023</v>
      </c>
      <c r="F232" s="2">
        <v>45034</v>
      </c>
      <c r="G232" s="3" t="s">
        <v>410</v>
      </c>
      <c r="H232" s="3" t="s">
        <v>18</v>
      </c>
      <c r="I232" s="3">
        <v>54</v>
      </c>
      <c r="J232" s="3"/>
      <c r="K232" s="3" t="s">
        <v>196</v>
      </c>
      <c r="L232" s="3">
        <v>2</v>
      </c>
      <c r="M232" s="4">
        <v>25</v>
      </c>
      <c r="N232">
        <f>L232 * M232</f>
        <v>50</v>
      </c>
      <c r="O232" s="15">
        <f>N232 *$R$3</f>
        <v>0.75</v>
      </c>
    </row>
    <row r="233" spans="1:15" ht="15.75">
      <c r="A233" s="3">
        <v>578</v>
      </c>
      <c r="B233">
        <f>DAY(F233)</f>
        <v>26</v>
      </c>
      <c r="C233" t="str">
        <f>TEXT(F233, "mmmm")</f>
        <v>May</v>
      </c>
      <c r="D233" s="3">
        <f>MONTH(F233)</f>
        <v>5</v>
      </c>
      <c r="E233" s="3">
        <f>YEAR(F233)</f>
        <v>2023</v>
      </c>
      <c r="F233" s="2">
        <v>45072</v>
      </c>
      <c r="G233" s="3" t="s">
        <v>411</v>
      </c>
      <c r="H233" s="3" t="s">
        <v>198</v>
      </c>
      <c r="I233" s="3">
        <v>54</v>
      </c>
      <c r="J233" s="3"/>
      <c r="K233" s="3" t="s">
        <v>195</v>
      </c>
      <c r="L233" s="3">
        <v>4</v>
      </c>
      <c r="M233" s="4">
        <v>30</v>
      </c>
      <c r="N233">
        <f>L233 * M233</f>
        <v>120</v>
      </c>
      <c r="O233" s="15">
        <f>N233 *$R$3</f>
        <v>1.7999999999999998</v>
      </c>
    </row>
    <row r="234" spans="1:15" ht="15.75">
      <c r="A234" s="3">
        <v>607</v>
      </c>
      <c r="B234">
        <f>DAY(F234)</f>
        <v>17</v>
      </c>
      <c r="C234" t="str">
        <f>TEXT(F234, "mmmm")</f>
        <v>March</v>
      </c>
      <c r="D234" s="3">
        <f>MONTH(F234)</f>
        <v>3</v>
      </c>
      <c r="E234" s="3">
        <f>YEAR(F234)</f>
        <v>2023</v>
      </c>
      <c r="F234" s="2">
        <v>45002</v>
      </c>
      <c r="G234" s="3" t="s">
        <v>412</v>
      </c>
      <c r="H234" s="3" t="s">
        <v>18</v>
      </c>
      <c r="I234" s="3">
        <v>54</v>
      </c>
      <c r="J234" s="3"/>
      <c r="K234" s="3" t="s">
        <v>195</v>
      </c>
      <c r="L234" s="3">
        <v>3</v>
      </c>
      <c r="M234" s="4">
        <v>25</v>
      </c>
      <c r="N234">
        <f>L234 * M234</f>
        <v>75</v>
      </c>
      <c r="O234" s="15">
        <f>N234 *$R$3</f>
        <v>1.125</v>
      </c>
    </row>
    <row r="235" spans="1:15" ht="15.75">
      <c r="A235" s="3">
        <v>642</v>
      </c>
      <c r="B235">
        <f>DAY(F235)</f>
        <v>22</v>
      </c>
      <c r="C235" t="str">
        <f>TEXT(F235, "mmmm")</f>
        <v>May</v>
      </c>
      <c r="D235" s="3">
        <f>MONTH(F235)</f>
        <v>5</v>
      </c>
      <c r="E235" s="3">
        <f>YEAR(F235)</f>
        <v>2023</v>
      </c>
      <c r="F235" s="2">
        <v>45068</v>
      </c>
      <c r="G235" s="3" t="s">
        <v>413</v>
      </c>
      <c r="H235" s="3" t="s">
        <v>198</v>
      </c>
      <c r="I235" s="3">
        <v>54</v>
      </c>
      <c r="J235" s="3"/>
      <c r="K235" s="3" t="s">
        <v>195</v>
      </c>
      <c r="L235" s="3">
        <v>4</v>
      </c>
      <c r="M235" s="4">
        <v>25</v>
      </c>
      <c r="N235">
        <f>L235 * M235</f>
        <v>100</v>
      </c>
      <c r="O235" s="15">
        <f>N235 *$R$3</f>
        <v>1.5</v>
      </c>
    </row>
    <row r="236" spans="1:15" ht="15.75">
      <c r="A236" s="3">
        <v>653</v>
      </c>
      <c r="B236">
        <f>DAY(F236)</f>
        <v>20</v>
      </c>
      <c r="C236" t="str">
        <f>TEXT(F236, "mmmm")</f>
        <v>May</v>
      </c>
      <c r="D236" s="3">
        <f>MONTH(F236)</f>
        <v>5</v>
      </c>
      <c r="E236" s="3">
        <f>YEAR(F236)</f>
        <v>2023</v>
      </c>
      <c r="F236" s="2">
        <v>45066</v>
      </c>
      <c r="G236" s="3" t="s">
        <v>414</v>
      </c>
      <c r="H236" s="3" t="s">
        <v>18</v>
      </c>
      <c r="I236" s="3">
        <v>54</v>
      </c>
      <c r="J236" s="3"/>
      <c r="K236" s="3" t="s">
        <v>195</v>
      </c>
      <c r="L236" s="3">
        <v>3</v>
      </c>
      <c r="M236" s="4">
        <v>25</v>
      </c>
      <c r="N236">
        <f>L236 * M236</f>
        <v>75</v>
      </c>
      <c r="O236" s="15">
        <f>N236 *$R$3</f>
        <v>1.125</v>
      </c>
    </row>
    <row r="237" spans="1:15" ht="15.75">
      <c r="A237" s="3">
        <v>723</v>
      </c>
      <c r="B237">
        <f>DAY(F237)</f>
        <v>17</v>
      </c>
      <c r="C237" t="str">
        <f>TEXT(F237, "mmmm")</f>
        <v>June</v>
      </c>
      <c r="D237" s="3">
        <f>MONTH(F237)</f>
        <v>6</v>
      </c>
      <c r="E237" s="3">
        <f>YEAR(F237)</f>
        <v>2023</v>
      </c>
      <c r="F237" s="2">
        <v>45094</v>
      </c>
      <c r="G237" s="3" t="s">
        <v>415</v>
      </c>
      <c r="H237" s="3" t="s">
        <v>198</v>
      </c>
      <c r="I237" s="3">
        <v>54</v>
      </c>
      <c r="J237" s="3"/>
      <c r="K237" s="3" t="s">
        <v>19</v>
      </c>
      <c r="L237" s="3">
        <v>4</v>
      </c>
      <c r="M237" s="4">
        <v>50</v>
      </c>
      <c r="N237">
        <f>L237 * M237</f>
        <v>200</v>
      </c>
      <c r="O237" s="15">
        <f>N237 *$R$3</f>
        <v>3</v>
      </c>
    </row>
    <row r="238" spans="1:15" ht="15.75">
      <c r="A238" s="3">
        <v>731</v>
      </c>
      <c r="B238">
        <f>DAY(F238)</f>
        <v>10</v>
      </c>
      <c r="C238" t="str">
        <f>TEXT(F238, "mmmm")</f>
        <v>May</v>
      </c>
      <c r="D238" s="3">
        <f>MONTH(F238)</f>
        <v>5</v>
      </c>
      <c r="E238" s="3">
        <f>YEAR(F238)</f>
        <v>2023</v>
      </c>
      <c r="F238" s="2">
        <v>45056</v>
      </c>
      <c r="G238" s="3" t="s">
        <v>416</v>
      </c>
      <c r="H238" s="3" t="s">
        <v>18</v>
      </c>
      <c r="I238" s="3">
        <v>54</v>
      </c>
      <c r="J238" s="3"/>
      <c r="K238" s="3" t="s">
        <v>195</v>
      </c>
      <c r="L238" s="3">
        <v>4</v>
      </c>
      <c r="M238" s="4">
        <v>500</v>
      </c>
      <c r="N238">
        <f>L238 * M238</f>
        <v>2000</v>
      </c>
      <c r="O238" s="15">
        <f>N238 *$R$3</f>
        <v>30</v>
      </c>
    </row>
    <row r="239" spans="1:15" ht="15.75">
      <c r="A239" s="3">
        <v>745</v>
      </c>
      <c r="B239">
        <f>DAY(F239)</f>
        <v>13</v>
      </c>
      <c r="C239" t="str">
        <f>TEXT(F239, "mmmm")</f>
        <v>April</v>
      </c>
      <c r="D239" s="3">
        <f>MONTH(F239)</f>
        <v>4</v>
      </c>
      <c r="E239" s="3">
        <f>YEAR(F239)</f>
        <v>2023</v>
      </c>
      <c r="F239" s="2">
        <v>45029</v>
      </c>
      <c r="G239" s="3" t="s">
        <v>85</v>
      </c>
      <c r="H239" s="3" t="s">
        <v>18</v>
      </c>
      <c r="I239" s="3">
        <v>54</v>
      </c>
      <c r="J239" s="3"/>
      <c r="K239" s="3" t="s">
        <v>19</v>
      </c>
      <c r="L239" s="3">
        <v>2</v>
      </c>
      <c r="M239" s="4">
        <v>50</v>
      </c>
      <c r="N239">
        <f>L239 * M239</f>
        <v>100</v>
      </c>
      <c r="O239" s="15">
        <f>N239 *$R$3</f>
        <v>1.5</v>
      </c>
    </row>
    <row r="240" spans="1:15" ht="15.75">
      <c r="A240" s="3">
        <v>793</v>
      </c>
      <c r="B240">
        <f>DAY(F240)</f>
        <v>5</v>
      </c>
      <c r="C240" t="str">
        <f>TEXT(F240, "mmmm")</f>
        <v>February</v>
      </c>
      <c r="D240" s="3">
        <f>MONTH(F240)</f>
        <v>2</v>
      </c>
      <c r="E240" s="3">
        <f>YEAR(F240)</f>
        <v>2023</v>
      </c>
      <c r="F240" s="2">
        <v>44962</v>
      </c>
      <c r="G240" s="3" t="s">
        <v>36</v>
      </c>
      <c r="H240" s="3" t="s">
        <v>18</v>
      </c>
      <c r="I240" s="3">
        <v>54</v>
      </c>
      <c r="J240" s="3"/>
      <c r="K240" s="3" t="s">
        <v>19</v>
      </c>
      <c r="L240" s="3">
        <v>1</v>
      </c>
      <c r="M240" s="4">
        <v>30</v>
      </c>
      <c r="N240">
        <f>L240 * M240</f>
        <v>30</v>
      </c>
      <c r="O240" s="15">
        <f>N240 *$R$3</f>
        <v>0.44999999999999996</v>
      </c>
    </row>
    <row r="241" spans="1:15" ht="15.75">
      <c r="A241" s="3">
        <v>845</v>
      </c>
      <c r="B241">
        <f>DAY(F241)</f>
        <v>6</v>
      </c>
      <c r="C241" t="str">
        <f>TEXT(F241, "mmmm")</f>
        <v>January</v>
      </c>
      <c r="D241" s="3">
        <f>MONTH(F241)</f>
        <v>1</v>
      </c>
      <c r="E241" s="3">
        <f>YEAR(F241)</f>
        <v>2023</v>
      </c>
      <c r="F241" s="2">
        <v>44932</v>
      </c>
      <c r="G241" s="3" t="s">
        <v>417</v>
      </c>
      <c r="H241" s="3" t="s">
        <v>18</v>
      </c>
      <c r="I241" s="3">
        <v>54</v>
      </c>
      <c r="J241" s="3"/>
      <c r="K241" s="3" t="s">
        <v>195</v>
      </c>
      <c r="L241" s="3">
        <v>1</v>
      </c>
      <c r="M241" s="4">
        <v>500</v>
      </c>
      <c r="N241">
        <f>L241 * M241</f>
        <v>500</v>
      </c>
      <c r="O241" s="15">
        <f>N241 *$R$3</f>
        <v>7.5</v>
      </c>
    </row>
    <row r="242" spans="1:15" ht="15.75">
      <c r="A242" s="3">
        <v>855</v>
      </c>
      <c r="B242">
        <f>DAY(F242)</f>
        <v>1</v>
      </c>
      <c r="C242" t="str">
        <f>TEXT(F242, "mmmm")</f>
        <v>September</v>
      </c>
      <c r="D242" s="3">
        <f>MONTH(F242)</f>
        <v>9</v>
      </c>
      <c r="E242" s="3">
        <f>YEAR(F242)</f>
        <v>2023</v>
      </c>
      <c r="F242" s="2">
        <v>45170</v>
      </c>
      <c r="G242" s="3" t="s">
        <v>23</v>
      </c>
      <c r="H242" s="3" t="s">
        <v>18</v>
      </c>
      <c r="I242" s="3">
        <v>54</v>
      </c>
      <c r="J242" s="3"/>
      <c r="K242" s="3" t="s">
        <v>19</v>
      </c>
      <c r="L242" s="3">
        <v>1</v>
      </c>
      <c r="M242" s="4">
        <v>25</v>
      </c>
      <c r="N242">
        <f>L242 * M242</f>
        <v>25</v>
      </c>
      <c r="O242" s="15">
        <f>N242 *$R$3</f>
        <v>0.375</v>
      </c>
    </row>
    <row r="243" spans="1:15" ht="15.75">
      <c r="A243" s="3">
        <v>856</v>
      </c>
      <c r="B243">
        <f>DAY(F243)</f>
        <v>27</v>
      </c>
      <c r="C243" t="str">
        <f>TEXT(F243, "mmmm")</f>
        <v>November</v>
      </c>
      <c r="D243" s="3">
        <f>MONTH(F243)</f>
        <v>11</v>
      </c>
      <c r="E243" s="3">
        <f>YEAR(F243)</f>
        <v>2023</v>
      </c>
      <c r="F243" s="2">
        <v>45257</v>
      </c>
      <c r="G243" s="3" t="s">
        <v>418</v>
      </c>
      <c r="H243" s="3" t="s">
        <v>18</v>
      </c>
      <c r="I243" s="3">
        <v>54</v>
      </c>
      <c r="J243" s="3"/>
      <c r="K243" s="3" t="s">
        <v>196</v>
      </c>
      <c r="L243" s="3">
        <v>4</v>
      </c>
      <c r="M243" s="4">
        <v>30</v>
      </c>
      <c r="N243">
        <f>L243 * M243</f>
        <v>120</v>
      </c>
      <c r="O243" s="15">
        <f>N243 *$R$3</f>
        <v>1.7999999999999998</v>
      </c>
    </row>
    <row r="244" spans="1:15" ht="15.75">
      <c r="A244" s="3">
        <v>902</v>
      </c>
      <c r="B244">
        <f>DAY(F244)</f>
        <v>1</v>
      </c>
      <c r="C244" t="str">
        <f>TEXT(F244, "mmmm")</f>
        <v>June</v>
      </c>
      <c r="D244" s="3">
        <f>MONTH(F244)</f>
        <v>6</v>
      </c>
      <c r="E244" s="3">
        <f>YEAR(F244)</f>
        <v>2023</v>
      </c>
      <c r="F244" s="2">
        <v>45078</v>
      </c>
      <c r="G244" s="3" t="s">
        <v>419</v>
      </c>
      <c r="H244" s="3" t="s">
        <v>198</v>
      </c>
      <c r="I244" s="3">
        <v>54</v>
      </c>
      <c r="J244" s="3"/>
      <c r="K244" s="3" t="s">
        <v>19</v>
      </c>
      <c r="L244" s="3">
        <v>1</v>
      </c>
      <c r="M244" s="4">
        <v>50</v>
      </c>
      <c r="N244">
        <f>L244 * M244</f>
        <v>50</v>
      </c>
      <c r="O244" s="15">
        <f>N244 *$R$3</f>
        <v>0.75</v>
      </c>
    </row>
    <row r="245" spans="1:15" ht="15.75">
      <c r="A245" s="3">
        <v>930</v>
      </c>
      <c r="B245">
        <f>DAY(F245)</f>
        <v>10</v>
      </c>
      <c r="C245" t="str">
        <f>TEXT(F245, "mmmm")</f>
        <v>May</v>
      </c>
      <c r="D245" s="3">
        <f>MONTH(F245)</f>
        <v>5</v>
      </c>
      <c r="E245" s="3">
        <f>YEAR(F245)</f>
        <v>2023</v>
      </c>
      <c r="F245" s="2">
        <v>45056</v>
      </c>
      <c r="G245" s="3" t="s">
        <v>420</v>
      </c>
      <c r="H245" s="3" t="s">
        <v>18</v>
      </c>
      <c r="I245" s="3">
        <v>54</v>
      </c>
      <c r="J245" s="3"/>
      <c r="K245" s="3" t="s">
        <v>195</v>
      </c>
      <c r="L245" s="3">
        <v>4</v>
      </c>
      <c r="M245" s="4">
        <v>50</v>
      </c>
      <c r="N245">
        <f>L245 * M245</f>
        <v>200</v>
      </c>
      <c r="O245" s="15">
        <f>N245 *$R$3</f>
        <v>3</v>
      </c>
    </row>
    <row r="246" spans="1:15" ht="15.75">
      <c r="A246" s="3">
        <v>168</v>
      </c>
      <c r="B246">
        <f>DAY(F246)</f>
        <v>24</v>
      </c>
      <c r="C246" t="str">
        <f>TEXT(F246, "mmmm")</f>
        <v>February</v>
      </c>
      <c r="D246" s="3">
        <f>MONTH(F246)</f>
        <v>2</v>
      </c>
      <c r="E246" s="3">
        <f>YEAR(F246)</f>
        <v>2023</v>
      </c>
      <c r="F246" s="2">
        <v>44981</v>
      </c>
      <c r="G246" s="3" t="s">
        <v>421</v>
      </c>
      <c r="H246" s="3" t="s">
        <v>18</v>
      </c>
      <c r="I246" s="3">
        <v>53</v>
      </c>
      <c r="J246" s="3"/>
      <c r="K246" s="3" t="s">
        <v>195</v>
      </c>
      <c r="L246" s="3">
        <v>1</v>
      </c>
      <c r="M246" s="4">
        <v>300</v>
      </c>
      <c r="N246">
        <f>L246 * M246</f>
        <v>300</v>
      </c>
      <c r="O246" s="15">
        <f>N246 *$R$3</f>
        <v>4.5</v>
      </c>
    </row>
    <row r="247" spans="1:15" ht="15.75">
      <c r="A247" s="3">
        <v>219</v>
      </c>
      <c r="B247">
        <f>DAY(F247)</f>
        <v>20</v>
      </c>
      <c r="C247" t="str">
        <f>TEXT(F247, "mmmm")</f>
        <v>August</v>
      </c>
      <c r="D247" s="3">
        <f>MONTH(F247)</f>
        <v>8</v>
      </c>
      <c r="E247" s="3">
        <f>YEAR(F247)</f>
        <v>2023</v>
      </c>
      <c r="F247" s="2">
        <v>45158</v>
      </c>
      <c r="G247" s="3" t="s">
        <v>422</v>
      </c>
      <c r="H247" s="3" t="s">
        <v>198</v>
      </c>
      <c r="I247" s="3">
        <v>53</v>
      </c>
      <c r="J247" s="3"/>
      <c r="K247" s="3" t="s">
        <v>196</v>
      </c>
      <c r="L247" s="3">
        <v>3</v>
      </c>
      <c r="M247" s="4">
        <v>30</v>
      </c>
      <c r="N247">
        <f>L247 * M247</f>
        <v>90</v>
      </c>
      <c r="O247" s="15">
        <f>N247 *$R$3</f>
        <v>1.3499999999999999</v>
      </c>
    </row>
    <row r="248" spans="1:15" ht="15.75">
      <c r="A248" s="3">
        <v>253</v>
      </c>
      <c r="B248">
        <f>DAY(F248)</f>
        <v>31</v>
      </c>
      <c r="C248" t="str">
        <f>TEXT(F248, "mmmm")</f>
        <v>August</v>
      </c>
      <c r="D248" s="3">
        <f>MONTH(F248)</f>
        <v>8</v>
      </c>
      <c r="E248" s="3">
        <f>YEAR(F248)</f>
        <v>2023</v>
      </c>
      <c r="F248" s="2">
        <v>45169</v>
      </c>
      <c r="G248" s="3" t="s">
        <v>423</v>
      </c>
      <c r="H248" s="3" t="s">
        <v>198</v>
      </c>
      <c r="I248" s="3">
        <v>53</v>
      </c>
      <c r="J248" s="3"/>
      <c r="K248" s="3" t="s">
        <v>195</v>
      </c>
      <c r="L248" s="3">
        <v>4</v>
      </c>
      <c r="M248" s="4">
        <v>500</v>
      </c>
      <c r="N248">
        <f>L248 * M248</f>
        <v>2000</v>
      </c>
      <c r="O248" s="15">
        <f>N248 *$R$3</f>
        <v>30</v>
      </c>
    </row>
    <row r="249" spans="1:15" ht="15.75">
      <c r="A249" s="3">
        <v>289</v>
      </c>
      <c r="B249">
        <f>DAY(F249)</f>
        <v>30</v>
      </c>
      <c r="C249" t="str">
        <f>TEXT(F249, "mmmm")</f>
        <v>November</v>
      </c>
      <c r="D249" s="3">
        <f>MONTH(F249)</f>
        <v>11</v>
      </c>
      <c r="E249" s="3">
        <f>YEAR(F249)</f>
        <v>2023</v>
      </c>
      <c r="F249" s="2">
        <v>45260</v>
      </c>
      <c r="G249" s="3" t="s">
        <v>424</v>
      </c>
      <c r="H249" s="3" t="s">
        <v>18</v>
      </c>
      <c r="I249" s="3">
        <v>53</v>
      </c>
      <c r="J249" s="3"/>
      <c r="K249" s="3" t="s">
        <v>196</v>
      </c>
      <c r="L249" s="3">
        <v>2</v>
      </c>
      <c r="M249" s="4">
        <v>30</v>
      </c>
      <c r="N249">
        <f>L249 * M249</f>
        <v>60</v>
      </c>
      <c r="O249" s="15">
        <f>N249 *$R$3</f>
        <v>0.89999999999999991</v>
      </c>
    </row>
    <row r="250" spans="1:15" ht="15.75">
      <c r="A250" s="3">
        <v>382</v>
      </c>
      <c r="B250">
        <f>DAY(F250)</f>
        <v>26</v>
      </c>
      <c r="C250" t="str">
        <f>TEXT(F250, "mmmm")</f>
        <v>May</v>
      </c>
      <c r="D250" s="3">
        <f>MONTH(F250)</f>
        <v>5</v>
      </c>
      <c r="E250" s="3">
        <f>YEAR(F250)</f>
        <v>2023</v>
      </c>
      <c r="F250" s="2">
        <v>45072</v>
      </c>
      <c r="G250" s="3" t="s">
        <v>425</v>
      </c>
      <c r="H250" s="3" t="s">
        <v>198</v>
      </c>
      <c r="I250" s="3">
        <v>53</v>
      </c>
      <c r="J250" s="3"/>
      <c r="K250" s="3" t="s">
        <v>195</v>
      </c>
      <c r="L250" s="3">
        <v>2</v>
      </c>
      <c r="M250" s="4">
        <v>500</v>
      </c>
      <c r="N250">
        <f>L250 * M250</f>
        <v>1000</v>
      </c>
      <c r="O250" s="15">
        <f>N250 *$R$3</f>
        <v>15</v>
      </c>
    </row>
    <row r="251" spans="1:15" ht="15.75">
      <c r="A251" s="3">
        <v>400</v>
      </c>
      <c r="B251">
        <f>DAY(F251)</f>
        <v>24</v>
      </c>
      <c r="C251" t="str">
        <f>TEXT(F251, "mmmm")</f>
        <v>February</v>
      </c>
      <c r="D251" s="3">
        <f>MONTH(F251)</f>
        <v>2</v>
      </c>
      <c r="E251" s="3">
        <f>YEAR(F251)</f>
        <v>2023</v>
      </c>
      <c r="F251" s="2">
        <v>44981</v>
      </c>
      <c r="G251" s="3" t="s">
        <v>426</v>
      </c>
      <c r="H251" s="3" t="s">
        <v>18</v>
      </c>
      <c r="I251" s="3">
        <v>53</v>
      </c>
      <c r="J251" s="3"/>
      <c r="K251" s="3" t="s">
        <v>195</v>
      </c>
      <c r="L251" s="3">
        <v>4</v>
      </c>
      <c r="M251" s="4">
        <v>50</v>
      </c>
      <c r="N251">
        <f>L251 * M251</f>
        <v>200</v>
      </c>
      <c r="O251" s="15">
        <f>N251 *$R$3</f>
        <v>3</v>
      </c>
    </row>
    <row r="252" spans="1:15" ht="15.75">
      <c r="A252" s="3">
        <v>415</v>
      </c>
      <c r="B252">
        <f>DAY(F252)</f>
        <v>27</v>
      </c>
      <c r="C252" t="str">
        <f>TEXT(F252, "mmmm")</f>
        <v>January</v>
      </c>
      <c r="D252" s="3">
        <f>MONTH(F252)</f>
        <v>1</v>
      </c>
      <c r="E252" s="3">
        <f>YEAR(F252)</f>
        <v>2023</v>
      </c>
      <c r="F252" s="2">
        <v>44953</v>
      </c>
      <c r="G252" s="3" t="s">
        <v>427</v>
      </c>
      <c r="H252" s="3" t="s">
        <v>18</v>
      </c>
      <c r="I252" s="3">
        <v>53</v>
      </c>
      <c r="J252" s="3"/>
      <c r="K252" s="3" t="s">
        <v>195</v>
      </c>
      <c r="L252" s="3">
        <v>2</v>
      </c>
      <c r="M252" s="4">
        <v>30</v>
      </c>
      <c r="N252">
        <f>L252 * M252</f>
        <v>60</v>
      </c>
      <c r="O252" s="15">
        <f>N252 *$R$3</f>
        <v>0.89999999999999991</v>
      </c>
    </row>
    <row r="253" spans="1:15" ht="15.75">
      <c r="A253" s="3">
        <v>416</v>
      </c>
      <c r="B253">
        <f>DAY(F253)</f>
        <v>17</v>
      </c>
      <c r="C253" t="str">
        <f>TEXT(F253, "mmmm")</f>
        <v>February</v>
      </c>
      <c r="D253" s="3">
        <f>MONTH(F253)</f>
        <v>2</v>
      </c>
      <c r="E253" s="3">
        <f>YEAR(F253)</f>
        <v>2023</v>
      </c>
      <c r="F253" s="2">
        <v>44974</v>
      </c>
      <c r="G253" s="3" t="s">
        <v>428</v>
      </c>
      <c r="H253" s="3" t="s">
        <v>18</v>
      </c>
      <c r="I253" s="3">
        <v>53</v>
      </c>
      <c r="J253" s="3"/>
      <c r="K253" s="3" t="s">
        <v>196</v>
      </c>
      <c r="L253" s="3">
        <v>4</v>
      </c>
      <c r="M253" s="4">
        <v>500</v>
      </c>
      <c r="N253">
        <f>L253 * M253</f>
        <v>2000</v>
      </c>
      <c r="O253" s="15">
        <f>N253 *$R$3</f>
        <v>30</v>
      </c>
    </row>
    <row r="254" spans="1:15" ht="15.75">
      <c r="A254" s="3">
        <v>445</v>
      </c>
      <c r="B254">
        <f>DAY(F254)</f>
        <v>22</v>
      </c>
      <c r="C254" t="str">
        <f>TEXT(F254, "mmmm")</f>
        <v>January</v>
      </c>
      <c r="D254" s="3">
        <f>MONTH(F254)</f>
        <v>1</v>
      </c>
      <c r="E254" s="3">
        <f>YEAR(F254)</f>
        <v>2023</v>
      </c>
      <c r="F254" s="2">
        <v>44948</v>
      </c>
      <c r="G254" s="3" t="s">
        <v>429</v>
      </c>
      <c r="H254" s="3" t="s">
        <v>198</v>
      </c>
      <c r="I254" s="3">
        <v>53</v>
      </c>
      <c r="J254" s="3"/>
      <c r="K254" s="3" t="s">
        <v>196</v>
      </c>
      <c r="L254" s="3">
        <v>1</v>
      </c>
      <c r="M254" s="4">
        <v>300</v>
      </c>
      <c r="N254">
        <f>L254 * M254</f>
        <v>300</v>
      </c>
      <c r="O254" s="15">
        <f>N254 *$R$3</f>
        <v>4.5</v>
      </c>
    </row>
    <row r="255" spans="1:15" ht="15.75">
      <c r="A255" s="3">
        <v>467</v>
      </c>
      <c r="B255">
        <f>DAY(F255)</f>
        <v>30</v>
      </c>
      <c r="C255" t="str">
        <f>TEXT(F255, "mmmm")</f>
        <v>July</v>
      </c>
      <c r="D255" s="3">
        <f>MONTH(F255)</f>
        <v>7</v>
      </c>
      <c r="E255" s="3">
        <f>YEAR(F255)</f>
        <v>2023</v>
      </c>
      <c r="F255" s="2">
        <v>45137</v>
      </c>
      <c r="G255" s="3" t="s">
        <v>430</v>
      </c>
      <c r="H255" s="3" t="s">
        <v>198</v>
      </c>
      <c r="I255" s="3">
        <v>53</v>
      </c>
      <c r="J255" s="3"/>
      <c r="K255" s="3" t="s">
        <v>196</v>
      </c>
      <c r="L255" s="3">
        <v>3</v>
      </c>
      <c r="M255" s="4">
        <v>50</v>
      </c>
      <c r="N255">
        <f>L255 * M255</f>
        <v>150</v>
      </c>
      <c r="O255" s="15">
        <f>N255 *$R$3</f>
        <v>2.25</v>
      </c>
    </row>
    <row r="256" spans="1:15" ht="15.75">
      <c r="A256" s="3">
        <v>591</v>
      </c>
      <c r="B256">
        <f>DAY(F256)</f>
        <v>13</v>
      </c>
      <c r="C256" t="str">
        <f>TEXT(F256, "mmmm")</f>
        <v>January</v>
      </c>
      <c r="D256" s="3">
        <f>MONTH(F256)</f>
        <v>1</v>
      </c>
      <c r="E256" s="3">
        <f>YEAR(F256)</f>
        <v>2023</v>
      </c>
      <c r="F256" s="2">
        <v>44939</v>
      </c>
      <c r="G256" s="3" t="s">
        <v>431</v>
      </c>
      <c r="H256" s="3" t="s">
        <v>18</v>
      </c>
      <c r="I256" s="3">
        <v>53</v>
      </c>
      <c r="J256" s="3"/>
      <c r="K256" s="3" t="s">
        <v>196</v>
      </c>
      <c r="L256" s="3">
        <v>4</v>
      </c>
      <c r="M256" s="4">
        <v>25</v>
      </c>
      <c r="N256">
        <f>L256 * M256</f>
        <v>100</v>
      </c>
      <c r="O256" s="15">
        <f>N256 *$R$3</f>
        <v>1.5</v>
      </c>
    </row>
    <row r="257" spans="1:15" ht="15.75">
      <c r="A257" s="3">
        <v>648</v>
      </c>
      <c r="B257">
        <f>DAY(F257)</f>
        <v>14</v>
      </c>
      <c r="C257" t="str">
        <f>TEXT(F257, "mmmm")</f>
        <v>August</v>
      </c>
      <c r="D257" s="3">
        <f>MONTH(F257)</f>
        <v>8</v>
      </c>
      <c r="E257" s="3">
        <f>YEAR(F257)</f>
        <v>2023</v>
      </c>
      <c r="F257" s="2">
        <v>45152</v>
      </c>
      <c r="G257" s="3" t="s">
        <v>146</v>
      </c>
      <c r="H257" s="3" t="s">
        <v>18</v>
      </c>
      <c r="I257" s="3">
        <v>53</v>
      </c>
      <c r="J257" s="3"/>
      <c r="K257" s="3" t="s">
        <v>19</v>
      </c>
      <c r="L257" s="3">
        <v>4</v>
      </c>
      <c r="M257" s="4">
        <v>300</v>
      </c>
      <c r="N257">
        <f>L257 * M257</f>
        <v>1200</v>
      </c>
      <c r="O257" s="15">
        <f>N257 *$R$3</f>
        <v>18</v>
      </c>
    </row>
    <row r="258" spans="1:15" ht="15.75">
      <c r="A258" s="3">
        <v>680</v>
      </c>
      <c r="B258">
        <f>DAY(F258)</f>
        <v>22</v>
      </c>
      <c r="C258" t="str">
        <f>TEXT(F258, "mmmm")</f>
        <v>October</v>
      </c>
      <c r="D258" s="3">
        <f>MONTH(F258)</f>
        <v>10</v>
      </c>
      <c r="E258" s="3">
        <f>YEAR(F258)</f>
        <v>2023</v>
      </c>
      <c r="F258" s="2">
        <v>45221</v>
      </c>
      <c r="G258" s="3" t="s">
        <v>432</v>
      </c>
      <c r="H258" s="3" t="s">
        <v>198</v>
      </c>
      <c r="I258" s="3">
        <v>53</v>
      </c>
      <c r="J258" s="3"/>
      <c r="K258" s="3" t="s">
        <v>195</v>
      </c>
      <c r="L258" s="3">
        <v>3</v>
      </c>
      <c r="M258" s="4">
        <v>300</v>
      </c>
      <c r="N258">
        <f>L258 * M258</f>
        <v>900</v>
      </c>
      <c r="O258" s="15">
        <f>N258 *$R$3</f>
        <v>13.5</v>
      </c>
    </row>
    <row r="259" spans="1:15" ht="15.75">
      <c r="A259" s="3">
        <v>687</v>
      </c>
      <c r="B259">
        <f>DAY(F259)</f>
        <v>3</v>
      </c>
      <c r="C259" t="str">
        <f>TEXT(F259, "mmmm")</f>
        <v>August</v>
      </c>
      <c r="D259" s="3">
        <f>MONTH(F259)</f>
        <v>8</v>
      </c>
      <c r="E259" s="3">
        <f>YEAR(F259)</f>
        <v>2023</v>
      </c>
      <c r="F259" s="2">
        <v>45141</v>
      </c>
      <c r="G259" s="3" t="s">
        <v>433</v>
      </c>
      <c r="H259" s="3" t="s">
        <v>198</v>
      </c>
      <c r="I259" s="3">
        <v>53</v>
      </c>
      <c r="J259" s="3"/>
      <c r="K259" s="3" t="s">
        <v>196</v>
      </c>
      <c r="L259" s="3">
        <v>1</v>
      </c>
      <c r="M259" s="4">
        <v>300</v>
      </c>
      <c r="N259">
        <f>L259 * M259</f>
        <v>300</v>
      </c>
      <c r="O259" s="15">
        <f>N259 *$R$3</f>
        <v>4.5</v>
      </c>
    </row>
    <row r="260" spans="1:15" ht="15.75">
      <c r="A260" s="3">
        <v>697</v>
      </c>
      <c r="B260">
        <f>DAY(F260)</f>
        <v>15</v>
      </c>
      <c r="C260" t="str">
        <f>TEXT(F260, "mmmm")</f>
        <v>January</v>
      </c>
      <c r="D260" s="3">
        <f>MONTH(F260)</f>
        <v>1</v>
      </c>
      <c r="E260" s="3">
        <f>YEAR(F260)</f>
        <v>2023</v>
      </c>
      <c r="F260" s="2">
        <v>44941</v>
      </c>
      <c r="G260" s="3" t="s">
        <v>434</v>
      </c>
      <c r="H260" s="3" t="s">
        <v>18</v>
      </c>
      <c r="I260" s="3">
        <v>53</v>
      </c>
      <c r="J260" s="3"/>
      <c r="K260" s="3" t="s">
        <v>195</v>
      </c>
      <c r="L260" s="3">
        <v>1</v>
      </c>
      <c r="M260" s="4">
        <v>500</v>
      </c>
      <c r="N260">
        <f>L260 * M260</f>
        <v>500</v>
      </c>
      <c r="O260" s="15">
        <f>N260 *$R$3</f>
        <v>7.5</v>
      </c>
    </row>
    <row r="261" spans="1:15" ht="15.75">
      <c r="A261" s="3">
        <v>961</v>
      </c>
      <c r="B261">
        <f>DAY(F261)</f>
        <v>6</v>
      </c>
      <c r="C261" t="str">
        <f>TEXT(F261, "mmmm")</f>
        <v>June</v>
      </c>
      <c r="D261" s="3">
        <f>MONTH(F261)</f>
        <v>6</v>
      </c>
      <c r="E261" s="3">
        <f>YEAR(F261)</f>
        <v>2023</v>
      </c>
      <c r="F261" s="2">
        <v>45083</v>
      </c>
      <c r="G261" s="3" t="s">
        <v>107</v>
      </c>
      <c r="H261" s="3" t="s">
        <v>18</v>
      </c>
      <c r="I261" s="3">
        <v>53</v>
      </c>
      <c r="J261" s="3"/>
      <c r="K261" s="3" t="s">
        <v>19</v>
      </c>
      <c r="L261" s="3">
        <v>4</v>
      </c>
      <c r="M261" s="4">
        <v>50</v>
      </c>
      <c r="N261">
        <f>L261 * M261</f>
        <v>200</v>
      </c>
      <c r="O261" s="15">
        <f>N261 *$R$3</f>
        <v>3</v>
      </c>
    </row>
    <row r="262" spans="1:15" ht="15.75">
      <c r="A262" s="3">
        <v>978</v>
      </c>
      <c r="B262">
        <f>DAY(F262)</f>
        <v>22</v>
      </c>
      <c r="C262" t="str">
        <f>TEXT(F262, "mmmm")</f>
        <v>March</v>
      </c>
      <c r="D262" s="3">
        <f>MONTH(F262)</f>
        <v>3</v>
      </c>
      <c r="E262" s="3">
        <f>YEAR(F262)</f>
        <v>2023</v>
      </c>
      <c r="F262" s="2">
        <v>45007</v>
      </c>
      <c r="G262" s="3" t="s">
        <v>435</v>
      </c>
      <c r="H262" s="3" t="s">
        <v>198</v>
      </c>
      <c r="I262" s="3">
        <v>53</v>
      </c>
      <c r="J262" s="3"/>
      <c r="K262" s="3" t="s">
        <v>195</v>
      </c>
      <c r="L262" s="3">
        <v>3</v>
      </c>
      <c r="M262" s="4">
        <v>50</v>
      </c>
      <c r="N262">
        <f>L262 * M262</f>
        <v>150</v>
      </c>
      <c r="O262" s="15">
        <f>N262 *$R$3</f>
        <v>2.25</v>
      </c>
    </row>
    <row r="263" spans="1:15" ht="15.75">
      <c r="A263" s="3">
        <v>10</v>
      </c>
      <c r="B263">
        <f>DAY(F263)</f>
        <v>7</v>
      </c>
      <c r="C263" t="str">
        <f>TEXT(F263, "mmmm")</f>
        <v>October</v>
      </c>
      <c r="D263" s="3">
        <f>MONTH(F263)</f>
        <v>10</v>
      </c>
      <c r="E263" s="3">
        <f>YEAR(F263)</f>
        <v>2023</v>
      </c>
      <c r="F263" s="2">
        <v>45206</v>
      </c>
      <c r="G263" s="3" t="s">
        <v>436</v>
      </c>
      <c r="H263" s="3" t="s">
        <v>198</v>
      </c>
      <c r="I263" s="3">
        <v>52</v>
      </c>
      <c r="J263" s="3"/>
      <c r="K263" s="3" t="s">
        <v>195</v>
      </c>
      <c r="L263" s="3">
        <v>4</v>
      </c>
      <c r="M263" s="4">
        <v>50</v>
      </c>
      <c r="N263">
        <f>L263 * M263</f>
        <v>200</v>
      </c>
      <c r="O263" s="15">
        <f>N263 *$R$3</f>
        <v>3</v>
      </c>
    </row>
    <row r="264" spans="1:15" ht="15.75">
      <c r="A264" s="3">
        <v>36</v>
      </c>
      <c r="B264">
        <f>DAY(F264)</f>
        <v>24</v>
      </c>
      <c r="C264" t="str">
        <f>TEXT(F264, "mmmm")</f>
        <v>June</v>
      </c>
      <c r="D264" s="3">
        <f>MONTH(F264)</f>
        <v>6</v>
      </c>
      <c r="E264" s="3">
        <f>YEAR(F264)</f>
        <v>2023</v>
      </c>
      <c r="F264" s="2">
        <v>45101</v>
      </c>
      <c r="G264" s="3" t="s">
        <v>133</v>
      </c>
      <c r="H264" s="3" t="s">
        <v>18</v>
      </c>
      <c r="I264" s="3">
        <v>52</v>
      </c>
      <c r="J264" s="3"/>
      <c r="K264" s="3" t="s">
        <v>19</v>
      </c>
      <c r="L264" s="3">
        <v>3</v>
      </c>
      <c r="M264" s="4">
        <v>300</v>
      </c>
      <c r="N264">
        <f>L264 * M264</f>
        <v>900</v>
      </c>
      <c r="O264" s="15">
        <f>N264 *$R$3</f>
        <v>13.5</v>
      </c>
    </row>
    <row r="265" spans="1:15" ht="15.75">
      <c r="A265" s="3">
        <v>171</v>
      </c>
      <c r="B265">
        <f>DAY(F265)</f>
        <v>24</v>
      </c>
      <c r="C265" t="str">
        <f>TEXT(F265, "mmmm")</f>
        <v>November</v>
      </c>
      <c r="D265" s="3">
        <f>MONTH(F265)</f>
        <v>11</v>
      </c>
      <c r="E265" s="3">
        <f>YEAR(F265)</f>
        <v>2023</v>
      </c>
      <c r="F265" s="2">
        <v>45254</v>
      </c>
      <c r="G265" s="3" t="s">
        <v>437</v>
      </c>
      <c r="H265" s="3" t="s">
        <v>198</v>
      </c>
      <c r="I265" s="3">
        <v>52</v>
      </c>
      <c r="J265" s="3"/>
      <c r="K265" s="3" t="s">
        <v>195</v>
      </c>
      <c r="L265" s="3">
        <v>3</v>
      </c>
      <c r="M265" s="4">
        <v>300</v>
      </c>
      <c r="N265">
        <f>L265 * M265</f>
        <v>900</v>
      </c>
      <c r="O265" s="15">
        <f>N265 *$R$3</f>
        <v>13.5</v>
      </c>
    </row>
    <row r="266" spans="1:15" ht="15.75">
      <c r="A266" s="3">
        <v>195</v>
      </c>
      <c r="B266">
        <f>DAY(F266)</f>
        <v>5</v>
      </c>
      <c r="C266" t="str">
        <f>TEXT(F266, "mmmm")</f>
        <v>February</v>
      </c>
      <c r="D266" s="3">
        <f>MONTH(F266)</f>
        <v>2</v>
      </c>
      <c r="E266" s="3">
        <f>YEAR(F266)</f>
        <v>2023</v>
      </c>
      <c r="F266" s="2">
        <v>44962</v>
      </c>
      <c r="G266" s="3" t="s">
        <v>438</v>
      </c>
      <c r="H266" s="3" t="s">
        <v>18</v>
      </c>
      <c r="I266" s="3">
        <v>52</v>
      </c>
      <c r="J266" s="3"/>
      <c r="K266" s="3" t="s">
        <v>195</v>
      </c>
      <c r="L266" s="3">
        <v>1</v>
      </c>
      <c r="M266" s="4">
        <v>30</v>
      </c>
      <c r="N266">
        <f>L266 * M266</f>
        <v>30</v>
      </c>
      <c r="O266" s="15">
        <f>N266 *$R$3</f>
        <v>0.44999999999999996</v>
      </c>
    </row>
    <row r="267" spans="1:15" ht="15.75">
      <c r="A267" s="3">
        <v>314</v>
      </c>
      <c r="B267">
        <f>DAY(F267)</f>
        <v>8</v>
      </c>
      <c r="C267" t="str">
        <f>TEXT(F267, "mmmm")</f>
        <v>April</v>
      </c>
      <c r="D267" s="3">
        <f>MONTH(F267)</f>
        <v>4</v>
      </c>
      <c r="E267" s="3">
        <f>YEAR(F267)</f>
        <v>2023</v>
      </c>
      <c r="F267" s="2">
        <v>45024</v>
      </c>
      <c r="G267" s="3" t="s">
        <v>439</v>
      </c>
      <c r="H267" s="3" t="s">
        <v>18</v>
      </c>
      <c r="I267" s="3">
        <v>52</v>
      </c>
      <c r="J267" s="3"/>
      <c r="K267" s="3" t="s">
        <v>195</v>
      </c>
      <c r="L267" s="3">
        <v>4</v>
      </c>
      <c r="M267" s="4">
        <v>30</v>
      </c>
      <c r="N267">
        <f>L267 * M267</f>
        <v>120</v>
      </c>
      <c r="O267" s="15">
        <f>N267 *$R$3</f>
        <v>1.7999999999999998</v>
      </c>
    </row>
    <row r="268" spans="1:15" ht="15.75">
      <c r="A268" s="3">
        <v>324</v>
      </c>
      <c r="B268">
        <f>DAY(F268)</f>
        <v>27</v>
      </c>
      <c r="C268" t="str">
        <f>TEXT(F268, "mmmm")</f>
        <v>October</v>
      </c>
      <c r="D268" s="3">
        <f>MONTH(F268)</f>
        <v>10</v>
      </c>
      <c r="E268" s="3">
        <f>YEAR(F268)</f>
        <v>2023</v>
      </c>
      <c r="F268" s="2">
        <v>45226</v>
      </c>
      <c r="G268" s="3" t="s">
        <v>440</v>
      </c>
      <c r="H268" s="3" t="s">
        <v>198</v>
      </c>
      <c r="I268" s="3">
        <v>52</v>
      </c>
      <c r="J268" s="3"/>
      <c r="K268" s="3" t="s">
        <v>196</v>
      </c>
      <c r="L268" s="3">
        <v>3</v>
      </c>
      <c r="M268" s="4">
        <v>50</v>
      </c>
      <c r="N268">
        <f>L268 * M268</f>
        <v>150</v>
      </c>
      <c r="O268" s="15">
        <f>N268 *$R$3</f>
        <v>2.25</v>
      </c>
    </row>
    <row r="269" spans="1:15" ht="15.75">
      <c r="A269" s="3">
        <v>325</v>
      </c>
      <c r="B269">
        <f>DAY(F269)</f>
        <v>2</v>
      </c>
      <c r="C269" t="str">
        <f>TEXT(F269, "mmmm")</f>
        <v>September</v>
      </c>
      <c r="D269" s="3">
        <f>MONTH(F269)</f>
        <v>9</v>
      </c>
      <c r="E269" s="3">
        <f>YEAR(F269)</f>
        <v>2023</v>
      </c>
      <c r="F269" s="2">
        <v>45171</v>
      </c>
      <c r="G269" s="3" t="s">
        <v>441</v>
      </c>
      <c r="H269" s="3" t="s">
        <v>198</v>
      </c>
      <c r="I269" s="3">
        <v>52</v>
      </c>
      <c r="J269" s="3"/>
      <c r="K269" s="3" t="s">
        <v>196</v>
      </c>
      <c r="L269" s="3">
        <v>2</v>
      </c>
      <c r="M269" s="4">
        <v>25</v>
      </c>
      <c r="N269">
        <f>L269 * M269</f>
        <v>50</v>
      </c>
      <c r="O269" s="15">
        <f>N269 *$R$3</f>
        <v>0.75</v>
      </c>
    </row>
    <row r="270" spans="1:15" ht="15.75">
      <c r="A270" s="3">
        <v>336</v>
      </c>
      <c r="B270">
        <f>DAY(F270)</f>
        <v>12</v>
      </c>
      <c r="C270" t="str">
        <f>TEXT(F270, "mmmm")</f>
        <v>December</v>
      </c>
      <c r="D270" s="3">
        <f>MONTH(F270)</f>
        <v>12</v>
      </c>
      <c r="E270" s="3">
        <f>YEAR(F270)</f>
        <v>2023</v>
      </c>
      <c r="F270" s="2">
        <v>45272</v>
      </c>
      <c r="G270" s="3" t="s">
        <v>442</v>
      </c>
      <c r="H270" s="3" t="s">
        <v>198</v>
      </c>
      <c r="I270" s="3">
        <v>52</v>
      </c>
      <c r="J270" s="3"/>
      <c r="K270" s="3" t="s">
        <v>19</v>
      </c>
      <c r="L270" s="3">
        <v>3</v>
      </c>
      <c r="M270" s="4">
        <v>50</v>
      </c>
      <c r="N270">
        <f>L270 * M270</f>
        <v>150</v>
      </c>
      <c r="O270" s="15">
        <f>N270 *$R$3</f>
        <v>2.25</v>
      </c>
    </row>
    <row r="271" spans="1:15" ht="15.75">
      <c r="A271" s="3">
        <v>479</v>
      </c>
      <c r="B271">
        <f>DAY(F271)</f>
        <v>24</v>
      </c>
      <c r="C271" t="str">
        <f>TEXT(F271, "mmmm")</f>
        <v>August</v>
      </c>
      <c r="D271" s="3">
        <f>MONTH(F271)</f>
        <v>8</v>
      </c>
      <c r="E271" s="3">
        <f>YEAR(F271)</f>
        <v>2023</v>
      </c>
      <c r="F271" s="2">
        <v>45162</v>
      </c>
      <c r="G271" s="3" t="s">
        <v>443</v>
      </c>
      <c r="H271" s="3" t="s">
        <v>18</v>
      </c>
      <c r="I271" s="3">
        <v>52</v>
      </c>
      <c r="J271" s="3"/>
      <c r="K271" s="3" t="s">
        <v>196</v>
      </c>
      <c r="L271" s="3">
        <v>4</v>
      </c>
      <c r="M271" s="4">
        <v>300</v>
      </c>
      <c r="N271">
        <f>L271 * M271</f>
        <v>1200</v>
      </c>
      <c r="O271" s="15">
        <f>N271 *$R$3</f>
        <v>18</v>
      </c>
    </row>
    <row r="272" spans="1:15" ht="15.75">
      <c r="A272" s="3">
        <v>569</v>
      </c>
      <c r="B272">
        <f>DAY(F272)</f>
        <v>15</v>
      </c>
      <c r="C272" t="str">
        <f>TEXT(F272, "mmmm")</f>
        <v>August</v>
      </c>
      <c r="D272" s="3">
        <f>MONTH(F272)</f>
        <v>8</v>
      </c>
      <c r="E272" s="3">
        <f>YEAR(F272)</f>
        <v>2023</v>
      </c>
      <c r="F272" s="2">
        <v>45153</v>
      </c>
      <c r="G272" s="3" t="s">
        <v>444</v>
      </c>
      <c r="H272" s="3" t="s">
        <v>18</v>
      </c>
      <c r="I272" s="3">
        <v>52</v>
      </c>
      <c r="J272" s="3"/>
      <c r="K272" s="3" t="s">
        <v>196</v>
      </c>
      <c r="L272" s="3">
        <v>4</v>
      </c>
      <c r="M272" s="4">
        <v>50</v>
      </c>
      <c r="N272">
        <f>L272 * M272</f>
        <v>200</v>
      </c>
      <c r="O272" s="15">
        <f>N272 *$R$3</f>
        <v>3</v>
      </c>
    </row>
    <row r="273" spans="1:15" ht="15.75">
      <c r="A273" s="3">
        <v>613</v>
      </c>
      <c r="B273">
        <f>DAY(F273)</f>
        <v>23</v>
      </c>
      <c r="C273" t="str">
        <f>TEXT(F273, "mmmm")</f>
        <v>April</v>
      </c>
      <c r="D273" s="3">
        <f>MONTH(F273)</f>
        <v>4</v>
      </c>
      <c r="E273" s="3">
        <f>YEAR(F273)</f>
        <v>2023</v>
      </c>
      <c r="F273" s="2">
        <v>45039</v>
      </c>
      <c r="G273" s="3" t="s">
        <v>445</v>
      </c>
      <c r="H273" s="3" t="s">
        <v>198</v>
      </c>
      <c r="I273" s="3">
        <v>52</v>
      </c>
      <c r="J273" s="3"/>
      <c r="K273" s="3" t="s">
        <v>195</v>
      </c>
      <c r="L273" s="3">
        <v>3</v>
      </c>
      <c r="M273" s="4">
        <v>30</v>
      </c>
      <c r="N273">
        <f>L273 * M273</f>
        <v>90</v>
      </c>
      <c r="O273" s="15">
        <f>N273 *$R$3</f>
        <v>1.3499999999999999</v>
      </c>
    </row>
    <row r="274" spans="1:15" ht="15.75">
      <c r="A274" s="3">
        <v>690</v>
      </c>
      <c r="B274">
        <f>DAY(F274)</f>
        <v>5</v>
      </c>
      <c r="C274" t="str">
        <f>TEXT(F274, "mmmm")</f>
        <v>November</v>
      </c>
      <c r="D274" s="3">
        <f>MONTH(F274)</f>
        <v>11</v>
      </c>
      <c r="E274" s="3">
        <f>YEAR(F274)</f>
        <v>2023</v>
      </c>
      <c r="F274" s="2">
        <v>45235</v>
      </c>
      <c r="G274" s="3" t="s">
        <v>446</v>
      </c>
      <c r="H274" s="3" t="s">
        <v>198</v>
      </c>
      <c r="I274" s="3">
        <v>52</v>
      </c>
      <c r="J274" s="3"/>
      <c r="K274" s="3" t="s">
        <v>195</v>
      </c>
      <c r="L274" s="3">
        <v>3</v>
      </c>
      <c r="M274" s="4">
        <v>300</v>
      </c>
      <c r="N274">
        <f>L274 * M274</f>
        <v>900</v>
      </c>
      <c r="O274" s="15">
        <f>N274 *$R$3</f>
        <v>13.5</v>
      </c>
    </row>
    <row r="275" spans="1:15" ht="15.75">
      <c r="A275" s="3">
        <v>701</v>
      </c>
      <c r="B275">
        <f>DAY(F275)</f>
        <v>14</v>
      </c>
      <c r="C275" t="str">
        <f>TEXT(F275, "mmmm")</f>
        <v>December</v>
      </c>
      <c r="D275" s="3">
        <f>MONTH(F275)</f>
        <v>12</v>
      </c>
      <c r="E275" s="3">
        <f>YEAR(F275)</f>
        <v>2023</v>
      </c>
      <c r="F275" s="2">
        <v>45274</v>
      </c>
      <c r="G275" s="3" t="s">
        <v>447</v>
      </c>
      <c r="H275" s="3" t="s">
        <v>198</v>
      </c>
      <c r="I275" s="3">
        <v>52</v>
      </c>
      <c r="J275" s="3"/>
      <c r="K275" s="3" t="s">
        <v>19</v>
      </c>
      <c r="L275" s="3">
        <v>2</v>
      </c>
      <c r="M275" s="4">
        <v>30</v>
      </c>
      <c r="N275">
        <f>L275 * M275</f>
        <v>60</v>
      </c>
      <c r="O275" s="15">
        <f>N275 *$R$3</f>
        <v>0.89999999999999991</v>
      </c>
    </row>
    <row r="276" spans="1:15" ht="15.75">
      <c r="A276" s="3">
        <v>721</v>
      </c>
      <c r="B276">
        <f>DAY(F276)</f>
        <v>14</v>
      </c>
      <c r="C276" t="str">
        <f>TEXT(F276, "mmmm")</f>
        <v>May</v>
      </c>
      <c r="D276" s="3">
        <f>MONTH(F276)</f>
        <v>5</v>
      </c>
      <c r="E276" s="3">
        <f>YEAR(F276)</f>
        <v>2023</v>
      </c>
      <c r="F276" s="2">
        <v>45060</v>
      </c>
      <c r="G276" s="3" t="s">
        <v>448</v>
      </c>
      <c r="H276" s="3" t="s">
        <v>198</v>
      </c>
      <c r="I276" s="3">
        <v>52</v>
      </c>
      <c r="J276" s="3"/>
      <c r="K276" s="3" t="s">
        <v>195</v>
      </c>
      <c r="L276" s="3">
        <v>1</v>
      </c>
      <c r="M276" s="4">
        <v>500</v>
      </c>
      <c r="N276">
        <f>L276 * M276</f>
        <v>500</v>
      </c>
      <c r="O276" s="15">
        <f>N276 *$R$3</f>
        <v>7.5</v>
      </c>
    </row>
    <row r="277" spans="1:15" ht="15.75">
      <c r="A277" s="3">
        <v>780</v>
      </c>
      <c r="B277">
        <f>DAY(F277)</f>
        <v>22</v>
      </c>
      <c r="C277" t="str">
        <f>TEXT(F277, "mmmm")</f>
        <v>February</v>
      </c>
      <c r="D277" s="3">
        <f>MONTH(F277)</f>
        <v>2</v>
      </c>
      <c r="E277" s="3">
        <f>YEAR(F277)</f>
        <v>2023</v>
      </c>
      <c r="F277" s="2">
        <v>44979</v>
      </c>
      <c r="G277" s="3" t="s">
        <v>449</v>
      </c>
      <c r="H277" s="3" t="s">
        <v>18</v>
      </c>
      <c r="I277" s="3">
        <v>52</v>
      </c>
      <c r="J277" s="3"/>
      <c r="K277" s="3" t="s">
        <v>196</v>
      </c>
      <c r="L277" s="3">
        <v>2</v>
      </c>
      <c r="M277" s="4">
        <v>25</v>
      </c>
      <c r="N277">
        <f>L277 * M277</f>
        <v>50</v>
      </c>
      <c r="O277" s="15">
        <f>N277 *$R$3</f>
        <v>0.75</v>
      </c>
    </row>
    <row r="278" spans="1:15" ht="15.75">
      <c r="A278" s="3">
        <v>788</v>
      </c>
      <c r="B278">
        <f>DAY(F278)</f>
        <v>27</v>
      </c>
      <c r="C278" t="str">
        <f>TEXT(F278, "mmmm")</f>
        <v>June</v>
      </c>
      <c r="D278" s="3">
        <f>MONTH(F278)</f>
        <v>6</v>
      </c>
      <c r="E278" s="3">
        <f>YEAR(F278)</f>
        <v>2023</v>
      </c>
      <c r="F278" s="2">
        <v>45104</v>
      </c>
      <c r="G278" s="3" t="s">
        <v>450</v>
      </c>
      <c r="H278" s="3" t="s">
        <v>198</v>
      </c>
      <c r="I278" s="3">
        <v>52</v>
      </c>
      <c r="J278" s="3"/>
      <c r="K278" s="3" t="s">
        <v>19</v>
      </c>
      <c r="L278" s="3">
        <v>3</v>
      </c>
      <c r="M278" s="4">
        <v>300</v>
      </c>
      <c r="N278">
        <f>L278 * M278</f>
        <v>900</v>
      </c>
      <c r="O278" s="15">
        <f>N278 *$R$3</f>
        <v>13.5</v>
      </c>
    </row>
    <row r="279" spans="1:15" ht="15.75">
      <c r="A279" s="3">
        <v>813</v>
      </c>
      <c r="B279">
        <f>DAY(F279)</f>
        <v>3</v>
      </c>
      <c r="C279" t="str">
        <f>TEXT(F279, "mmmm")</f>
        <v>October</v>
      </c>
      <c r="D279" s="3">
        <f>MONTH(F279)</f>
        <v>10</v>
      </c>
      <c r="E279" s="3">
        <f>YEAR(F279)</f>
        <v>2023</v>
      </c>
      <c r="F279" s="2">
        <v>45202</v>
      </c>
      <c r="G279" s="3" t="s">
        <v>451</v>
      </c>
      <c r="H279" s="3" t="s">
        <v>18</v>
      </c>
      <c r="I279" s="3">
        <v>52</v>
      </c>
      <c r="J279" s="3"/>
      <c r="K279" s="3" t="s">
        <v>196</v>
      </c>
      <c r="L279" s="3">
        <v>3</v>
      </c>
      <c r="M279" s="4">
        <v>50</v>
      </c>
      <c r="N279">
        <f>L279 * M279</f>
        <v>150</v>
      </c>
      <c r="O279" s="15">
        <f>N279 *$R$3</f>
        <v>2.25</v>
      </c>
    </row>
    <row r="280" spans="1:15" ht="15.75">
      <c r="A280" s="3">
        <v>822</v>
      </c>
      <c r="B280">
        <f>DAY(F280)</f>
        <v>23</v>
      </c>
      <c r="C280" t="str">
        <f>TEXT(F280, "mmmm")</f>
        <v>May</v>
      </c>
      <c r="D280" s="3">
        <f>MONTH(F280)</f>
        <v>5</v>
      </c>
      <c r="E280" s="3">
        <f>YEAR(F280)</f>
        <v>2023</v>
      </c>
      <c r="F280" s="2">
        <v>45069</v>
      </c>
      <c r="G280" s="3" t="s">
        <v>452</v>
      </c>
      <c r="H280" s="3" t="s">
        <v>198</v>
      </c>
      <c r="I280" s="3">
        <v>52</v>
      </c>
      <c r="J280" s="3"/>
      <c r="K280" s="3" t="s">
        <v>19</v>
      </c>
      <c r="L280" s="3">
        <v>3</v>
      </c>
      <c r="M280" s="4">
        <v>50</v>
      </c>
      <c r="N280">
        <f>L280 * M280</f>
        <v>150</v>
      </c>
      <c r="O280" s="15">
        <f>N280 *$R$3</f>
        <v>2.25</v>
      </c>
    </row>
    <row r="281" spans="1:15" ht="15.75">
      <c r="A281" s="3">
        <v>885</v>
      </c>
      <c r="B281">
        <f>DAY(F281)</f>
        <v>3</v>
      </c>
      <c r="C281" t="str">
        <f>TEXT(F281, "mmmm")</f>
        <v>March</v>
      </c>
      <c r="D281" s="3">
        <f>MONTH(F281)</f>
        <v>3</v>
      </c>
      <c r="E281" s="3">
        <f>YEAR(F281)</f>
        <v>2023</v>
      </c>
      <c r="F281" s="2">
        <v>44988</v>
      </c>
      <c r="G281" s="3" t="s">
        <v>453</v>
      </c>
      <c r="H281" s="3" t="s">
        <v>198</v>
      </c>
      <c r="I281" s="3">
        <v>52</v>
      </c>
      <c r="J281" s="3"/>
      <c r="K281" s="3" t="s">
        <v>195</v>
      </c>
      <c r="L281" s="3">
        <v>4</v>
      </c>
      <c r="M281" s="4">
        <v>30</v>
      </c>
      <c r="N281">
        <f>L281 * M281</f>
        <v>120</v>
      </c>
      <c r="O281" s="15">
        <f>N281 *$R$3</f>
        <v>1.7999999999999998</v>
      </c>
    </row>
    <row r="282" spans="1:15" ht="15.75">
      <c r="A282" s="3">
        <v>888</v>
      </c>
      <c r="B282">
        <f>DAY(F282)</f>
        <v>3</v>
      </c>
      <c r="C282" t="str">
        <f>TEXT(F282, "mmmm")</f>
        <v>March</v>
      </c>
      <c r="D282" s="3">
        <f>MONTH(F282)</f>
        <v>3</v>
      </c>
      <c r="E282" s="3">
        <f>YEAR(F282)</f>
        <v>2023</v>
      </c>
      <c r="F282" s="2">
        <v>44988</v>
      </c>
      <c r="G282" s="3" t="s">
        <v>454</v>
      </c>
      <c r="H282" s="3" t="s">
        <v>198</v>
      </c>
      <c r="I282" s="3">
        <v>52</v>
      </c>
      <c r="J282" s="3"/>
      <c r="K282" s="3" t="s">
        <v>196</v>
      </c>
      <c r="L282" s="3">
        <v>4</v>
      </c>
      <c r="M282" s="4">
        <v>25</v>
      </c>
      <c r="N282">
        <f>L282 * M282</f>
        <v>100</v>
      </c>
      <c r="O282" s="15">
        <f>N282 *$R$3</f>
        <v>1.5</v>
      </c>
    </row>
    <row r="283" spans="1:15" ht="15.75">
      <c r="A283" s="3">
        <v>894</v>
      </c>
      <c r="B283">
        <f>DAY(F283)</f>
        <v>5</v>
      </c>
      <c r="C283" t="str">
        <f>TEXT(F283, "mmmm")</f>
        <v>September</v>
      </c>
      <c r="D283" s="3">
        <f>MONTH(F283)</f>
        <v>9</v>
      </c>
      <c r="E283" s="3">
        <f>YEAR(F283)</f>
        <v>2023</v>
      </c>
      <c r="F283" s="2">
        <v>45174</v>
      </c>
      <c r="G283" s="3" t="s">
        <v>455</v>
      </c>
      <c r="H283" s="3" t="s">
        <v>18</v>
      </c>
      <c r="I283" s="3">
        <v>52</v>
      </c>
      <c r="J283" s="3"/>
      <c r="K283" s="3" t="s">
        <v>196</v>
      </c>
      <c r="L283" s="3">
        <v>1</v>
      </c>
      <c r="M283" s="4">
        <v>30</v>
      </c>
      <c r="N283">
        <f>L283 * M283</f>
        <v>30</v>
      </c>
      <c r="O283" s="15">
        <f>N283 *$R$3</f>
        <v>0.44999999999999996</v>
      </c>
    </row>
    <row r="284" spans="1:15" ht="15.75">
      <c r="A284" s="3">
        <v>997</v>
      </c>
      <c r="B284">
        <f>DAY(F284)</f>
        <v>17</v>
      </c>
      <c r="C284" t="str">
        <f>TEXT(F284, "mmmm")</f>
        <v>November</v>
      </c>
      <c r="D284" s="3">
        <f>MONTH(F284)</f>
        <v>11</v>
      </c>
      <c r="E284" s="3">
        <f>YEAR(F284)</f>
        <v>2023</v>
      </c>
      <c r="F284" s="2">
        <v>45247</v>
      </c>
      <c r="G284" s="3" t="s">
        <v>71</v>
      </c>
      <c r="H284" s="3" t="s">
        <v>18</v>
      </c>
      <c r="I284" s="3">
        <v>52</v>
      </c>
      <c r="J284" s="3"/>
      <c r="K284" s="3" t="s">
        <v>19</v>
      </c>
      <c r="L284" s="3">
        <v>3</v>
      </c>
      <c r="M284" s="4">
        <v>30</v>
      </c>
      <c r="N284">
        <f>L284 * M284</f>
        <v>90</v>
      </c>
      <c r="O284" s="15">
        <f>N284 *$R$3</f>
        <v>1.3499999999999999</v>
      </c>
    </row>
    <row r="285" spans="1:15" ht="15.75">
      <c r="A285" s="3">
        <v>34</v>
      </c>
      <c r="B285">
        <f>DAY(F285)</f>
        <v>24</v>
      </c>
      <c r="C285" t="str">
        <f>TEXT(F285, "mmmm")</f>
        <v>December</v>
      </c>
      <c r="D285" s="3">
        <f>MONTH(F285)</f>
        <v>12</v>
      </c>
      <c r="E285" s="3">
        <f>YEAR(F285)</f>
        <v>2023</v>
      </c>
      <c r="F285" s="2">
        <v>45284</v>
      </c>
      <c r="G285" s="3" t="s">
        <v>456</v>
      </c>
      <c r="H285" s="3" t="s">
        <v>198</v>
      </c>
      <c r="I285" s="3">
        <v>51</v>
      </c>
      <c r="J285" s="3"/>
      <c r="K285" s="3" t="s">
        <v>195</v>
      </c>
      <c r="L285" s="3">
        <v>3</v>
      </c>
      <c r="M285" s="4">
        <v>50</v>
      </c>
      <c r="N285">
        <f>L285 * M285</f>
        <v>150</v>
      </c>
      <c r="O285" s="15">
        <f>N285 *$R$3</f>
        <v>2.25</v>
      </c>
    </row>
    <row r="286" spans="1:15" ht="15.75">
      <c r="A286" s="3">
        <v>65</v>
      </c>
      <c r="B286">
        <f>DAY(F286)</f>
        <v>5</v>
      </c>
      <c r="C286" t="str">
        <f>TEXT(F286, "mmmm")</f>
        <v>December</v>
      </c>
      <c r="D286" s="3">
        <f>MONTH(F286)</f>
        <v>12</v>
      </c>
      <c r="E286" s="3">
        <f>YEAR(F286)</f>
        <v>2023</v>
      </c>
      <c r="F286" s="2">
        <v>45265</v>
      </c>
      <c r="G286" s="3" t="s">
        <v>457</v>
      </c>
      <c r="H286" s="3" t="s">
        <v>18</v>
      </c>
      <c r="I286" s="3">
        <v>51</v>
      </c>
      <c r="J286" s="3"/>
      <c r="K286" s="3" t="s">
        <v>196</v>
      </c>
      <c r="L286" s="3">
        <v>4</v>
      </c>
      <c r="M286" s="4">
        <v>500</v>
      </c>
      <c r="N286">
        <f>L286 * M286</f>
        <v>2000</v>
      </c>
      <c r="O286" s="15">
        <f>N286 *$R$3</f>
        <v>30</v>
      </c>
    </row>
    <row r="287" spans="1:15" ht="15.75">
      <c r="A287" s="3">
        <v>71</v>
      </c>
      <c r="B287">
        <f>DAY(F287)</f>
        <v>14</v>
      </c>
      <c r="C287" t="str">
        <f>TEXT(F287, "mmmm")</f>
        <v>July</v>
      </c>
      <c r="D287" s="3">
        <f>MONTH(F287)</f>
        <v>7</v>
      </c>
      <c r="E287" s="3">
        <f>YEAR(F287)</f>
        <v>2023</v>
      </c>
      <c r="F287" s="2">
        <v>45121</v>
      </c>
      <c r="G287" s="3" t="s">
        <v>458</v>
      </c>
      <c r="H287" s="3" t="s">
        <v>198</v>
      </c>
      <c r="I287" s="3">
        <v>51</v>
      </c>
      <c r="J287" s="3"/>
      <c r="K287" s="3" t="s">
        <v>19</v>
      </c>
      <c r="L287" s="3">
        <v>4</v>
      </c>
      <c r="M287" s="4">
        <v>25</v>
      </c>
      <c r="N287">
        <f>L287 * M287</f>
        <v>100</v>
      </c>
      <c r="O287" s="15">
        <f>N287 *$R$3</f>
        <v>1.5</v>
      </c>
    </row>
    <row r="288" spans="1:15" ht="15.75">
      <c r="A288" s="3">
        <v>90</v>
      </c>
      <c r="B288">
        <f>DAY(F288)</f>
        <v>6</v>
      </c>
      <c r="C288" t="str">
        <f>TEXT(F288, "mmmm")</f>
        <v>May</v>
      </c>
      <c r="D288" s="3">
        <f>MONTH(F288)</f>
        <v>5</v>
      </c>
      <c r="E288" s="3">
        <f>YEAR(F288)</f>
        <v>2023</v>
      </c>
      <c r="F288" s="2">
        <v>45052</v>
      </c>
      <c r="G288" s="3" t="s">
        <v>459</v>
      </c>
      <c r="H288" s="3" t="s">
        <v>198</v>
      </c>
      <c r="I288" s="3">
        <v>51</v>
      </c>
      <c r="J288" s="3"/>
      <c r="K288" s="3" t="s">
        <v>196</v>
      </c>
      <c r="L288" s="3">
        <v>1</v>
      </c>
      <c r="M288" s="4">
        <v>30</v>
      </c>
      <c r="N288">
        <f>L288 * M288</f>
        <v>30</v>
      </c>
      <c r="O288" s="15">
        <f>N288 *$R$3</f>
        <v>0.44999999999999996</v>
      </c>
    </row>
    <row r="289" spans="1:15" ht="15.75">
      <c r="A289" s="3">
        <v>92</v>
      </c>
      <c r="B289">
        <f>DAY(F289)</f>
        <v>25</v>
      </c>
      <c r="C289" t="str">
        <f>TEXT(F289, "mmmm")</f>
        <v>August</v>
      </c>
      <c r="D289" s="3">
        <f>MONTH(F289)</f>
        <v>8</v>
      </c>
      <c r="E289" s="3">
        <f>YEAR(F289)</f>
        <v>2023</v>
      </c>
      <c r="F289" s="2">
        <v>45163</v>
      </c>
      <c r="G289" s="3" t="s">
        <v>460</v>
      </c>
      <c r="H289" s="3" t="s">
        <v>198</v>
      </c>
      <c r="I289" s="3">
        <v>51</v>
      </c>
      <c r="J289" s="3"/>
      <c r="K289" s="3" t="s">
        <v>196</v>
      </c>
      <c r="L289" s="3">
        <v>4</v>
      </c>
      <c r="M289" s="4">
        <v>30</v>
      </c>
      <c r="N289">
        <f>L289 * M289</f>
        <v>120</v>
      </c>
      <c r="O289" s="15">
        <f>N289 *$R$3</f>
        <v>1.7999999999999998</v>
      </c>
    </row>
    <row r="290" spans="1:15" ht="15.75">
      <c r="A290" s="3">
        <v>97</v>
      </c>
      <c r="B290">
        <f>DAY(F290)</f>
        <v>13</v>
      </c>
      <c r="C290" t="str">
        <f>TEXT(F290, "mmmm")</f>
        <v>October</v>
      </c>
      <c r="D290" s="3">
        <f>MONTH(F290)</f>
        <v>10</v>
      </c>
      <c r="E290" s="3">
        <f>YEAR(F290)</f>
        <v>2023</v>
      </c>
      <c r="F290" s="2">
        <v>45212</v>
      </c>
      <c r="G290" s="3" t="s">
        <v>461</v>
      </c>
      <c r="H290" s="3" t="s">
        <v>198</v>
      </c>
      <c r="I290" s="3">
        <v>51</v>
      </c>
      <c r="J290" s="3"/>
      <c r="K290" s="3" t="s">
        <v>19</v>
      </c>
      <c r="L290" s="3">
        <v>2</v>
      </c>
      <c r="M290" s="4">
        <v>500</v>
      </c>
      <c r="N290">
        <f>L290 * M290</f>
        <v>1000</v>
      </c>
      <c r="O290" s="15">
        <f>N290 *$R$3</f>
        <v>15</v>
      </c>
    </row>
    <row r="291" spans="1:15" ht="15.75">
      <c r="A291" s="3">
        <v>115</v>
      </c>
      <c r="B291">
        <f>DAY(F291)</f>
        <v>26</v>
      </c>
      <c r="C291" t="str">
        <f>TEXT(F291, "mmmm")</f>
        <v>November</v>
      </c>
      <c r="D291" s="3">
        <f>MONTH(F291)</f>
        <v>11</v>
      </c>
      <c r="E291" s="3">
        <f>YEAR(F291)</f>
        <v>2023</v>
      </c>
      <c r="F291" s="2">
        <v>45256</v>
      </c>
      <c r="G291" s="3" t="s">
        <v>462</v>
      </c>
      <c r="H291" s="3" t="s">
        <v>18</v>
      </c>
      <c r="I291" s="3">
        <v>51</v>
      </c>
      <c r="J291" s="3"/>
      <c r="K291" s="3" t="s">
        <v>195</v>
      </c>
      <c r="L291" s="3">
        <v>3</v>
      </c>
      <c r="M291" s="4">
        <v>500</v>
      </c>
      <c r="N291">
        <f>L291 * M291</f>
        <v>1500</v>
      </c>
      <c r="O291" s="15">
        <f>N291 *$R$3</f>
        <v>22.5</v>
      </c>
    </row>
    <row r="292" spans="1:15" ht="15.75">
      <c r="A292" s="3">
        <v>154</v>
      </c>
      <c r="B292">
        <f>DAY(F292)</f>
        <v>2</v>
      </c>
      <c r="C292" t="str">
        <f>TEXT(F292, "mmmm")</f>
        <v>October</v>
      </c>
      <c r="D292" s="3">
        <f>MONTH(F292)</f>
        <v>10</v>
      </c>
      <c r="E292" s="3">
        <f>YEAR(F292)</f>
        <v>2023</v>
      </c>
      <c r="F292" s="2">
        <v>45201</v>
      </c>
      <c r="G292" s="3" t="s">
        <v>463</v>
      </c>
      <c r="H292" s="3" t="s">
        <v>18</v>
      </c>
      <c r="I292" s="3">
        <v>51</v>
      </c>
      <c r="J292" s="3"/>
      <c r="K292" s="3" t="s">
        <v>196</v>
      </c>
      <c r="L292" s="3">
        <v>3</v>
      </c>
      <c r="M292" s="4">
        <v>300</v>
      </c>
      <c r="N292">
        <f>L292 * M292</f>
        <v>900</v>
      </c>
      <c r="O292" s="15">
        <f>N292 *$R$3</f>
        <v>13.5</v>
      </c>
    </row>
    <row r="293" spans="1:15" ht="15.75">
      <c r="A293" s="3">
        <v>222</v>
      </c>
      <c r="B293">
        <f>DAY(F293)</f>
        <v>26</v>
      </c>
      <c r="C293" t="str">
        <f>TEXT(F293, "mmmm")</f>
        <v>April</v>
      </c>
      <c r="D293" s="3">
        <f>MONTH(F293)</f>
        <v>4</v>
      </c>
      <c r="E293" s="3">
        <f>YEAR(F293)</f>
        <v>2023</v>
      </c>
      <c r="F293" s="2">
        <v>45042</v>
      </c>
      <c r="G293" s="3" t="s">
        <v>464</v>
      </c>
      <c r="H293" s="3" t="s">
        <v>18</v>
      </c>
      <c r="I293" s="3">
        <v>51</v>
      </c>
      <c r="J293" s="3"/>
      <c r="K293" s="3" t="s">
        <v>195</v>
      </c>
      <c r="L293" s="3">
        <v>4</v>
      </c>
      <c r="M293" s="4">
        <v>30</v>
      </c>
      <c r="N293">
        <f>L293 * M293</f>
        <v>120</v>
      </c>
      <c r="O293" s="15">
        <f>N293 *$R$3</f>
        <v>1.7999999999999998</v>
      </c>
    </row>
    <row r="294" spans="1:15" ht="15.75">
      <c r="A294" s="3">
        <v>233</v>
      </c>
      <c r="B294">
        <f>DAY(F294)</f>
        <v>29</v>
      </c>
      <c r="C294" t="str">
        <f>TEXT(F294, "mmmm")</f>
        <v>December</v>
      </c>
      <c r="D294" s="3">
        <f>MONTH(F294)</f>
        <v>12</v>
      </c>
      <c r="E294" s="3">
        <f>YEAR(F294)</f>
        <v>2023</v>
      </c>
      <c r="F294" s="2">
        <v>45289</v>
      </c>
      <c r="G294" s="3" t="s">
        <v>465</v>
      </c>
      <c r="H294" s="3" t="s">
        <v>198</v>
      </c>
      <c r="I294" s="3">
        <v>51</v>
      </c>
      <c r="J294" s="3"/>
      <c r="K294" s="3" t="s">
        <v>19</v>
      </c>
      <c r="L294" s="3">
        <v>2</v>
      </c>
      <c r="M294" s="4">
        <v>300</v>
      </c>
      <c r="N294">
        <f>L294 * M294</f>
        <v>600</v>
      </c>
      <c r="O294" s="15">
        <f>N294 *$R$3</f>
        <v>9</v>
      </c>
    </row>
    <row r="295" spans="1:15" ht="15.75">
      <c r="A295" s="3">
        <v>322</v>
      </c>
      <c r="B295">
        <f>DAY(F295)</f>
        <v>30</v>
      </c>
      <c r="C295" t="str">
        <f>TEXT(F295, "mmmm")</f>
        <v>January</v>
      </c>
      <c r="D295" s="3">
        <f>MONTH(F295)</f>
        <v>1</v>
      </c>
      <c r="E295" s="3">
        <f>YEAR(F295)</f>
        <v>2023</v>
      </c>
      <c r="F295" s="2">
        <v>44956</v>
      </c>
      <c r="G295" s="3" t="s">
        <v>466</v>
      </c>
      <c r="H295" s="3" t="s">
        <v>18</v>
      </c>
      <c r="I295" s="3">
        <v>51</v>
      </c>
      <c r="J295" s="3"/>
      <c r="K295" s="3" t="s">
        <v>196</v>
      </c>
      <c r="L295" s="3">
        <v>1</v>
      </c>
      <c r="M295" s="4">
        <v>500</v>
      </c>
      <c r="N295">
        <f>L295 * M295</f>
        <v>500</v>
      </c>
      <c r="O295" s="15">
        <f>N295 *$R$3</f>
        <v>7.5</v>
      </c>
    </row>
    <row r="296" spans="1:15" ht="15.75">
      <c r="A296" s="3">
        <v>488</v>
      </c>
      <c r="B296">
        <f>DAY(F296)</f>
        <v>18</v>
      </c>
      <c r="C296" t="str">
        <f>TEXT(F296, "mmmm")</f>
        <v>June</v>
      </c>
      <c r="D296" s="3">
        <f>MONTH(F296)</f>
        <v>6</v>
      </c>
      <c r="E296" s="3">
        <f>YEAR(F296)</f>
        <v>2023</v>
      </c>
      <c r="F296" s="2">
        <v>45095</v>
      </c>
      <c r="G296" s="3" t="s">
        <v>467</v>
      </c>
      <c r="H296" s="3" t="s">
        <v>198</v>
      </c>
      <c r="I296" s="3">
        <v>51</v>
      </c>
      <c r="J296" s="3"/>
      <c r="K296" s="3" t="s">
        <v>196</v>
      </c>
      <c r="L296" s="3">
        <v>3</v>
      </c>
      <c r="M296" s="4">
        <v>300</v>
      </c>
      <c r="N296">
        <f>L296 * M296</f>
        <v>900</v>
      </c>
      <c r="O296" s="15">
        <f>N296 *$R$3</f>
        <v>13.5</v>
      </c>
    </row>
    <row r="297" spans="1:15" ht="15.75">
      <c r="A297" s="3">
        <v>548</v>
      </c>
      <c r="B297">
        <f>DAY(F297)</f>
        <v>9</v>
      </c>
      <c r="C297" t="str">
        <f>TEXT(F297, "mmmm")</f>
        <v>April</v>
      </c>
      <c r="D297" s="3">
        <f>MONTH(F297)</f>
        <v>4</v>
      </c>
      <c r="E297" s="3">
        <f>YEAR(F297)</f>
        <v>2023</v>
      </c>
      <c r="F297" s="2">
        <v>45025</v>
      </c>
      <c r="G297" s="3" t="s">
        <v>468</v>
      </c>
      <c r="H297" s="3" t="s">
        <v>198</v>
      </c>
      <c r="I297" s="3">
        <v>51</v>
      </c>
      <c r="J297" s="3"/>
      <c r="K297" s="3" t="s">
        <v>195</v>
      </c>
      <c r="L297" s="3">
        <v>2</v>
      </c>
      <c r="M297" s="4">
        <v>30</v>
      </c>
      <c r="N297">
        <f>L297 * M297</f>
        <v>60</v>
      </c>
      <c r="O297" s="15">
        <f>N297 *$R$3</f>
        <v>0.89999999999999991</v>
      </c>
    </row>
    <row r="298" spans="1:15" ht="15.75">
      <c r="A298" s="3">
        <v>568</v>
      </c>
      <c r="B298">
        <f>DAY(F298)</f>
        <v>27</v>
      </c>
      <c r="C298" t="str">
        <f>TEXT(F298, "mmmm")</f>
        <v>August</v>
      </c>
      <c r="D298" s="3">
        <f>MONTH(F298)</f>
        <v>8</v>
      </c>
      <c r="E298" s="3">
        <f>YEAR(F298)</f>
        <v>2023</v>
      </c>
      <c r="F298" s="2">
        <v>45165</v>
      </c>
      <c r="G298" s="3" t="s">
        <v>469</v>
      </c>
      <c r="H298" s="3" t="s">
        <v>198</v>
      </c>
      <c r="I298" s="3">
        <v>51</v>
      </c>
      <c r="J298" s="3"/>
      <c r="K298" s="3" t="s">
        <v>196</v>
      </c>
      <c r="L298" s="3">
        <v>1</v>
      </c>
      <c r="M298" s="4">
        <v>300</v>
      </c>
      <c r="N298">
        <f>L298 * M298</f>
        <v>300</v>
      </c>
      <c r="O298" s="15">
        <f>N298 *$R$3</f>
        <v>4.5</v>
      </c>
    </row>
    <row r="299" spans="1:15" ht="15.75">
      <c r="A299" s="3">
        <v>611</v>
      </c>
      <c r="B299">
        <f>DAY(F299)</f>
        <v>24</v>
      </c>
      <c r="C299" t="str">
        <f>TEXT(F299, "mmmm")</f>
        <v>February</v>
      </c>
      <c r="D299" s="3">
        <f>MONTH(F299)</f>
        <v>2</v>
      </c>
      <c r="E299" s="3">
        <f>YEAR(F299)</f>
        <v>2023</v>
      </c>
      <c r="F299" s="2">
        <v>44981</v>
      </c>
      <c r="G299" s="3" t="s">
        <v>156</v>
      </c>
      <c r="H299" s="3" t="s">
        <v>18</v>
      </c>
      <c r="I299" s="3">
        <v>51</v>
      </c>
      <c r="J299" s="3"/>
      <c r="K299" s="3" t="s">
        <v>19</v>
      </c>
      <c r="L299" s="3">
        <v>3</v>
      </c>
      <c r="M299" s="4">
        <v>500</v>
      </c>
      <c r="N299">
        <f>L299 * M299</f>
        <v>1500</v>
      </c>
      <c r="O299" s="15">
        <f>N299 *$R$3</f>
        <v>22.5</v>
      </c>
    </row>
    <row r="300" spans="1:15" ht="15.75">
      <c r="A300" s="3">
        <v>640</v>
      </c>
      <c r="B300">
        <f>DAY(F300)</f>
        <v>7</v>
      </c>
      <c r="C300" t="str">
        <f>TEXT(F300, "mmmm")</f>
        <v>May</v>
      </c>
      <c r="D300" s="3">
        <f>MONTH(F300)</f>
        <v>5</v>
      </c>
      <c r="E300" s="3">
        <f>YEAR(F300)</f>
        <v>2023</v>
      </c>
      <c r="F300" s="2">
        <v>45053</v>
      </c>
      <c r="G300" s="3" t="s">
        <v>470</v>
      </c>
      <c r="H300" s="3" t="s">
        <v>198</v>
      </c>
      <c r="I300" s="3">
        <v>51</v>
      </c>
      <c r="J300" s="3"/>
      <c r="K300" s="3" t="s">
        <v>196</v>
      </c>
      <c r="L300" s="3">
        <v>4</v>
      </c>
      <c r="M300" s="4">
        <v>30</v>
      </c>
      <c r="N300">
        <f>L300 * M300</f>
        <v>120</v>
      </c>
      <c r="O300" s="15">
        <f>N300 *$R$3</f>
        <v>1.7999999999999998</v>
      </c>
    </row>
    <row r="301" spans="1:15" ht="15.75">
      <c r="A301" s="3">
        <v>651</v>
      </c>
      <c r="B301">
        <f>DAY(F301)</f>
        <v>27</v>
      </c>
      <c r="C301" t="str">
        <f>TEXT(F301, "mmmm")</f>
        <v>May</v>
      </c>
      <c r="D301" s="3">
        <f>MONTH(F301)</f>
        <v>5</v>
      </c>
      <c r="E301" s="3">
        <f>YEAR(F301)</f>
        <v>2023</v>
      </c>
      <c r="F301" s="2">
        <v>45073</v>
      </c>
      <c r="G301" s="3" t="s">
        <v>471</v>
      </c>
      <c r="H301" s="3" t="s">
        <v>18</v>
      </c>
      <c r="I301" s="3">
        <v>51</v>
      </c>
      <c r="J301" s="3"/>
      <c r="K301" s="3" t="s">
        <v>195</v>
      </c>
      <c r="L301" s="3">
        <v>3</v>
      </c>
      <c r="M301" s="4">
        <v>50</v>
      </c>
      <c r="N301">
        <f>L301 * M301</f>
        <v>150</v>
      </c>
      <c r="O301" s="15">
        <f>N301 *$R$3</f>
        <v>2.25</v>
      </c>
    </row>
    <row r="302" spans="1:15" ht="15.75">
      <c r="A302" s="3">
        <v>666</v>
      </c>
      <c r="B302">
        <f>DAY(F302)</f>
        <v>2</v>
      </c>
      <c r="C302" t="str">
        <f>TEXT(F302, "mmmm")</f>
        <v>February</v>
      </c>
      <c r="D302" s="3">
        <f>MONTH(F302)</f>
        <v>2</v>
      </c>
      <c r="E302" s="3">
        <f>YEAR(F302)</f>
        <v>2023</v>
      </c>
      <c r="F302" s="2">
        <v>44959</v>
      </c>
      <c r="G302" s="3" t="s">
        <v>472</v>
      </c>
      <c r="H302" s="3" t="s">
        <v>18</v>
      </c>
      <c r="I302" s="3">
        <v>51</v>
      </c>
      <c r="J302" s="3"/>
      <c r="K302" s="3" t="s">
        <v>196</v>
      </c>
      <c r="L302" s="3">
        <v>3</v>
      </c>
      <c r="M302" s="4">
        <v>50</v>
      </c>
      <c r="N302">
        <f>L302 * M302</f>
        <v>150</v>
      </c>
      <c r="O302" s="15">
        <f>N302 *$R$3</f>
        <v>2.25</v>
      </c>
    </row>
    <row r="303" spans="1:15" ht="15.75">
      <c r="A303" s="3">
        <v>691</v>
      </c>
      <c r="B303">
        <f>DAY(F303)</f>
        <v>23</v>
      </c>
      <c r="C303" t="str">
        <f>TEXT(F303, "mmmm")</f>
        <v>April</v>
      </c>
      <c r="D303" s="3">
        <f>MONTH(F303)</f>
        <v>4</v>
      </c>
      <c r="E303" s="3">
        <f>YEAR(F303)</f>
        <v>2023</v>
      </c>
      <c r="F303" s="2">
        <v>45039</v>
      </c>
      <c r="G303" s="3" t="s">
        <v>473</v>
      </c>
      <c r="H303" s="3" t="s">
        <v>198</v>
      </c>
      <c r="I303" s="3">
        <v>51</v>
      </c>
      <c r="J303" s="3"/>
      <c r="K303" s="3" t="s">
        <v>195</v>
      </c>
      <c r="L303" s="3">
        <v>3</v>
      </c>
      <c r="M303" s="4">
        <v>30</v>
      </c>
      <c r="N303">
        <f>L303 * M303</f>
        <v>90</v>
      </c>
      <c r="O303" s="15">
        <f>N303 *$R$3</f>
        <v>1.3499999999999999</v>
      </c>
    </row>
    <row r="304" spans="1:15" ht="15.75">
      <c r="A304" s="3">
        <v>706</v>
      </c>
      <c r="B304">
        <f>DAY(F304)</f>
        <v>15</v>
      </c>
      <c r="C304" t="str">
        <f>TEXT(F304, "mmmm")</f>
        <v>November</v>
      </c>
      <c r="D304" s="3">
        <f>MONTH(F304)</f>
        <v>11</v>
      </c>
      <c r="E304" s="3">
        <f>YEAR(F304)</f>
        <v>2023</v>
      </c>
      <c r="F304" s="2">
        <v>45245</v>
      </c>
      <c r="G304" s="3" t="s">
        <v>474</v>
      </c>
      <c r="H304" s="3" t="s">
        <v>18</v>
      </c>
      <c r="I304" s="3">
        <v>51</v>
      </c>
      <c r="J304" s="3"/>
      <c r="K304" s="3" t="s">
        <v>196</v>
      </c>
      <c r="L304" s="3">
        <v>4</v>
      </c>
      <c r="M304" s="4">
        <v>25</v>
      </c>
      <c r="N304">
        <f>L304 * M304</f>
        <v>100</v>
      </c>
      <c r="O304" s="15">
        <f>N304 *$R$3</f>
        <v>1.5</v>
      </c>
    </row>
    <row r="305" spans="1:15" ht="15.75">
      <c r="A305" s="3">
        <v>728</v>
      </c>
      <c r="B305">
        <f>DAY(F305)</f>
        <v>14</v>
      </c>
      <c r="C305" t="str">
        <f>TEXT(F305, "mmmm")</f>
        <v>July</v>
      </c>
      <c r="D305" s="3">
        <f>MONTH(F305)</f>
        <v>7</v>
      </c>
      <c r="E305" s="3">
        <f>YEAR(F305)</f>
        <v>2023</v>
      </c>
      <c r="F305" s="2">
        <v>45121</v>
      </c>
      <c r="G305" s="3" t="s">
        <v>475</v>
      </c>
      <c r="H305" s="3" t="s">
        <v>18</v>
      </c>
      <c r="I305" s="3">
        <v>51</v>
      </c>
      <c r="J305" s="3"/>
      <c r="K305" s="3" t="s">
        <v>196</v>
      </c>
      <c r="L305" s="3">
        <v>3</v>
      </c>
      <c r="M305" s="4">
        <v>50</v>
      </c>
      <c r="N305">
        <f>L305 * M305</f>
        <v>150</v>
      </c>
      <c r="O305" s="15">
        <f>N305 *$R$3</f>
        <v>2.25</v>
      </c>
    </row>
    <row r="306" spans="1:15" ht="15.75">
      <c r="A306" s="3">
        <v>791</v>
      </c>
      <c r="B306">
        <f>DAY(F306)</f>
        <v>5</v>
      </c>
      <c r="C306" t="str">
        <f>TEXT(F306, "mmmm")</f>
        <v>December</v>
      </c>
      <c r="D306" s="3">
        <f>MONTH(F306)</f>
        <v>12</v>
      </c>
      <c r="E306" s="3">
        <f>YEAR(F306)</f>
        <v>2023</v>
      </c>
      <c r="F306" s="2">
        <v>45265</v>
      </c>
      <c r="G306" s="3" t="s">
        <v>476</v>
      </c>
      <c r="H306" s="3" t="s">
        <v>198</v>
      </c>
      <c r="I306" s="3">
        <v>51</v>
      </c>
      <c r="J306" s="3"/>
      <c r="K306" s="3" t="s">
        <v>19</v>
      </c>
      <c r="L306" s="3">
        <v>1</v>
      </c>
      <c r="M306" s="4">
        <v>25</v>
      </c>
      <c r="N306">
        <f>L306 * M306</f>
        <v>25</v>
      </c>
      <c r="O306" s="15">
        <f>N306 *$R$3</f>
        <v>0.375</v>
      </c>
    </row>
    <row r="307" spans="1:15" ht="15.75">
      <c r="A307" s="3">
        <v>815</v>
      </c>
      <c r="B307">
        <f>DAY(F307)</f>
        <v>27</v>
      </c>
      <c r="C307" t="str">
        <f>TEXT(F307, "mmmm")</f>
        <v>August</v>
      </c>
      <c r="D307" s="3">
        <f>MONTH(F307)</f>
        <v>8</v>
      </c>
      <c r="E307" s="3">
        <f>YEAR(F307)</f>
        <v>2023</v>
      </c>
      <c r="F307" s="2">
        <v>45165</v>
      </c>
      <c r="G307" s="3" t="s">
        <v>477</v>
      </c>
      <c r="H307" s="3" t="s">
        <v>198</v>
      </c>
      <c r="I307" s="3">
        <v>51</v>
      </c>
      <c r="J307" s="3"/>
      <c r="K307" s="3" t="s">
        <v>195</v>
      </c>
      <c r="L307" s="3">
        <v>3</v>
      </c>
      <c r="M307" s="4">
        <v>25</v>
      </c>
      <c r="N307">
        <f>L307 * M307</f>
        <v>75</v>
      </c>
      <c r="O307" s="15">
        <f>N307 *$R$3</f>
        <v>1.125</v>
      </c>
    </row>
    <row r="308" spans="1:15" ht="15.75">
      <c r="A308" s="3">
        <v>864</v>
      </c>
      <c r="B308">
        <f>DAY(F308)</f>
        <v>27</v>
      </c>
      <c r="C308" t="str">
        <f>TEXT(F308, "mmmm")</f>
        <v>July</v>
      </c>
      <c r="D308" s="3">
        <f>MONTH(F308)</f>
        <v>7</v>
      </c>
      <c r="E308" s="3">
        <f>YEAR(F308)</f>
        <v>2023</v>
      </c>
      <c r="F308" s="2">
        <v>45134</v>
      </c>
      <c r="G308" s="3" t="s">
        <v>478</v>
      </c>
      <c r="H308" s="3" t="s">
        <v>198</v>
      </c>
      <c r="I308" s="3">
        <v>51</v>
      </c>
      <c r="J308" s="3"/>
      <c r="K308" s="3" t="s">
        <v>196</v>
      </c>
      <c r="L308" s="3">
        <v>1</v>
      </c>
      <c r="M308" s="4">
        <v>500</v>
      </c>
      <c r="N308">
        <f>L308 * M308</f>
        <v>500</v>
      </c>
      <c r="O308" s="15">
        <f>N308 *$R$3</f>
        <v>7.5</v>
      </c>
    </row>
    <row r="309" spans="1:15" ht="15.75">
      <c r="A309" s="3">
        <v>875</v>
      </c>
      <c r="B309">
        <f>DAY(F309)</f>
        <v>6</v>
      </c>
      <c r="C309" t="str">
        <f>TEXT(F309, "mmmm")</f>
        <v>August</v>
      </c>
      <c r="D309" s="3">
        <f>MONTH(F309)</f>
        <v>8</v>
      </c>
      <c r="E309" s="3">
        <f>YEAR(F309)</f>
        <v>2023</v>
      </c>
      <c r="F309" s="2">
        <v>45144</v>
      </c>
      <c r="G309" s="3" t="s">
        <v>479</v>
      </c>
      <c r="H309" s="3" t="s">
        <v>198</v>
      </c>
      <c r="I309" s="3">
        <v>51</v>
      </c>
      <c r="J309" s="3"/>
      <c r="K309" s="3" t="s">
        <v>196</v>
      </c>
      <c r="L309" s="3">
        <v>4</v>
      </c>
      <c r="M309" s="4">
        <v>500</v>
      </c>
      <c r="N309">
        <f>L309 * M309</f>
        <v>2000</v>
      </c>
      <c r="O309" s="15">
        <f>N309 *$R$3</f>
        <v>30</v>
      </c>
    </row>
    <row r="310" spans="1:15" ht="15.75">
      <c r="A310" s="3">
        <v>903</v>
      </c>
      <c r="B310">
        <f>DAY(F310)</f>
        <v>27</v>
      </c>
      <c r="C310" t="str">
        <f>TEXT(F310, "mmmm")</f>
        <v>April</v>
      </c>
      <c r="D310" s="3">
        <f>MONTH(F310)</f>
        <v>4</v>
      </c>
      <c r="E310" s="3">
        <f>YEAR(F310)</f>
        <v>2023</v>
      </c>
      <c r="F310" s="2">
        <v>45043</v>
      </c>
      <c r="G310" s="3" t="s">
        <v>480</v>
      </c>
      <c r="H310" s="3" t="s">
        <v>198</v>
      </c>
      <c r="I310" s="3">
        <v>51</v>
      </c>
      <c r="J310" s="3"/>
      <c r="K310" s="3" t="s">
        <v>19</v>
      </c>
      <c r="L310" s="3">
        <v>4</v>
      </c>
      <c r="M310" s="4">
        <v>50</v>
      </c>
      <c r="N310">
        <f>L310 * M310</f>
        <v>200</v>
      </c>
      <c r="O310" s="15">
        <f>N310 *$R$3</f>
        <v>3</v>
      </c>
    </row>
    <row r="311" spans="1:15" ht="15.75">
      <c r="A311" s="3">
        <v>912</v>
      </c>
      <c r="B311">
        <f>DAY(F311)</f>
        <v>24</v>
      </c>
      <c r="C311" t="str">
        <f>TEXT(F311, "mmmm")</f>
        <v>January</v>
      </c>
      <c r="D311" s="3">
        <f>MONTH(F311)</f>
        <v>1</v>
      </c>
      <c r="E311" s="3">
        <f>YEAR(F311)</f>
        <v>2023</v>
      </c>
      <c r="F311" s="2">
        <v>44950</v>
      </c>
      <c r="G311" s="3" t="s">
        <v>104</v>
      </c>
      <c r="H311" s="3" t="s">
        <v>18</v>
      </c>
      <c r="I311" s="3">
        <v>51</v>
      </c>
      <c r="J311" s="3"/>
      <c r="K311" s="3" t="s">
        <v>19</v>
      </c>
      <c r="L311" s="3">
        <v>3</v>
      </c>
      <c r="M311" s="4">
        <v>50</v>
      </c>
      <c r="N311">
        <f>L311 * M311</f>
        <v>150</v>
      </c>
      <c r="O311" s="15">
        <f>N311 *$R$3</f>
        <v>2.25</v>
      </c>
    </row>
    <row r="312" spans="1:15" ht="15.75">
      <c r="A312" s="3">
        <v>921</v>
      </c>
      <c r="B312">
        <f>DAY(F312)</f>
        <v>7</v>
      </c>
      <c r="C312" t="str">
        <f>TEXT(F312, "mmmm")</f>
        <v>January</v>
      </c>
      <c r="D312" s="3">
        <f>MONTH(F312)</f>
        <v>1</v>
      </c>
      <c r="E312" s="3">
        <f>YEAR(F312)</f>
        <v>2023</v>
      </c>
      <c r="F312" s="2">
        <v>44933</v>
      </c>
      <c r="G312" s="3" t="s">
        <v>481</v>
      </c>
      <c r="H312" s="3" t="s">
        <v>18</v>
      </c>
      <c r="I312" s="3">
        <v>51</v>
      </c>
      <c r="J312" s="3"/>
      <c r="K312" s="3" t="s">
        <v>196</v>
      </c>
      <c r="L312" s="3">
        <v>3</v>
      </c>
      <c r="M312" s="4">
        <v>25</v>
      </c>
      <c r="N312">
        <f>L312 * M312</f>
        <v>75</v>
      </c>
      <c r="O312" s="15">
        <f>N312 *$R$3</f>
        <v>1.125</v>
      </c>
    </row>
    <row r="313" spans="1:15" ht="15.75">
      <c r="A313" s="3">
        <v>942</v>
      </c>
      <c r="B313">
        <f>DAY(F313)</f>
        <v>18</v>
      </c>
      <c r="C313" t="str">
        <f>TEXT(F313, "mmmm")</f>
        <v>March</v>
      </c>
      <c r="D313" s="3">
        <f>MONTH(F313)</f>
        <v>3</v>
      </c>
      <c r="E313" s="3">
        <f>YEAR(F313)</f>
        <v>2023</v>
      </c>
      <c r="F313" s="2">
        <v>45003</v>
      </c>
      <c r="G313" s="3" t="s">
        <v>482</v>
      </c>
      <c r="H313" s="3" t="s">
        <v>18</v>
      </c>
      <c r="I313" s="3">
        <v>51</v>
      </c>
      <c r="J313" s="3"/>
      <c r="K313" s="3" t="s">
        <v>195</v>
      </c>
      <c r="L313" s="3">
        <v>3</v>
      </c>
      <c r="M313" s="4">
        <v>500</v>
      </c>
      <c r="N313">
        <f>L313 * M313</f>
        <v>1500</v>
      </c>
      <c r="O313" s="15">
        <f>N313 *$R$3</f>
        <v>22.5</v>
      </c>
    </row>
    <row r="314" spans="1:15" ht="15.75">
      <c r="A314" s="3">
        <v>994</v>
      </c>
      <c r="B314">
        <f>DAY(F314)</f>
        <v>18</v>
      </c>
      <c r="C314" t="str">
        <f>TEXT(F314, "mmmm")</f>
        <v>December</v>
      </c>
      <c r="D314" s="3">
        <f>MONTH(F314)</f>
        <v>12</v>
      </c>
      <c r="E314" s="3">
        <f>YEAR(F314)</f>
        <v>2023</v>
      </c>
      <c r="F314" s="2">
        <v>45278</v>
      </c>
      <c r="G314" s="3" t="s">
        <v>483</v>
      </c>
      <c r="H314" s="3" t="s">
        <v>198</v>
      </c>
      <c r="I314" s="3">
        <v>51</v>
      </c>
      <c r="J314" s="3"/>
      <c r="K314" s="3" t="s">
        <v>19</v>
      </c>
      <c r="L314" s="3">
        <v>2</v>
      </c>
      <c r="M314" s="4">
        <v>500</v>
      </c>
      <c r="N314">
        <f>L314 * M314</f>
        <v>1000</v>
      </c>
      <c r="O314" s="15">
        <f>N314 *$R$3</f>
        <v>15</v>
      </c>
    </row>
    <row r="315" spans="1:15" ht="15.75">
      <c r="A315" s="3">
        <v>3</v>
      </c>
      <c r="B315">
        <f>DAY(F315)</f>
        <v>13</v>
      </c>
      <c r="C315" t="str">
        <f>TEXT(F315, "mmmm")</f>
        <v>January</v>
      </c>
      <c r="D315" s="3">
        <f>MONTH(F315)</f>
        <v>1</v>
      </c>
      <c r="E315" s="3">
        <f>YEAR(F315)</f>
        <v>2023</v>
      </c>
      <c r="F315" s="2">
        <v>44939</v>
      </c>
      <c r="G315" s="3" t="s">
        <v>484</v>
      </c>
      <c r="H315" s="3" t="s">
        <v>18</v>
      </c>
      <c r="I315" s="3">
        <v>50</v>
      </c>
      <c r="J315" s="3"/>
      <c r="K315" s="3" t="s">
        <v>196</v>
      </c>
      <c r="L315" s="3">
        <v>1</v>
      </c>
      <c r="M315" s="4">
        <v>30</v>
      </c>
      <c r="N315">
        <f>L315 * M315</f>
        <v>30</v>
      </c>
      <c r="O315" s="15">
        <f>N315 *$R$3</f>
        <v>0.44999999999999996</v>
      </c>
    </row>
    <row r="316" spans="1:15" ht="15.75">
      <c r="A316" s="3">
        <v>21</v>
      </c>
      <c r="B316">
        <f>DAY(F316)</f>
        <v>14</v>
      </c>
      <c r="C316" t="str">
        <f>TEXT(F316, "mmmm")</f>
        <v>January</v>
      </c>
      <c r="D316" s="3">
        <f>MONTH(F316)</f>
        <v>1</v>
      </c>
      <c r="E316" s="3">
        <f>YEAR(F316)</f>
        <v>2023</v>
      </c>
      <c r="F316" s="2">
        <v>44940</v>
      </c>
      <c r="G316" s="3" t="s">
        <v>485</v>
      </c>
      <c r="H316" s="3" t="s">
        <v>198</v>
      </c>
      <c r="I316" s="3">
        <v>50</v>
      </c>
      <c r="J316" s="3"/>
      <c r="K316" s="3" t="s">
        <v>19</v>
      </c>
      <c r="L316" s="3">
        <v>1</v>
      </c>
      <c r="M316" s="4">
        <v>500</v>
      </c>
      <c r="N316">
        <f>L316 * M316</f>
        <v>500</v>
      </c>
      <c r="O316" s="15">
        <f>N316 *$R$3</f>
        <v>7.5</v>
      </c>
    </row>
    <row r="317" spans="1:15" ht="15.75">
      <c r="A317" s="3">
        <v>33</v>
      </c>
      <c r="B317">
        <f>DAY(F317)</f>
        <v>23</v>
      </c>
      <c r="C317" t="str">
        <f>TEXT(F317, "mmmm")</f>
        <v>March</v>
      </c>
      <c r="D317" s="3">
        <f>MONTH(F317)</f>
        <v>3</v>
      </c>
      <c r="E317" s="3">
        <f>YEAR(F317)</f>
        <v>2023</v>
      </c>
      <c r="F317" s="2">
        <v>45008</v>
      </c>
      <c r="G317" s="3" t="s">
        <v>486</v>
      </c>
      <c r="H317" s="3" t="s">
        <v>198</v>
      </c>
      <c r="I317" s="3">
        <v>50</v>
      </c>
      <c r="J317" s="3"/>
      <c r="K317" s="3" t="s">
        <v>196</v>
      </c>
      <c r="L317" s="3">
        <v>2</v>
      </c>
      <c r="M317" s="4">
        <v>50</v>
      </c>
      <c r="N317">
        <f>L317 * M317</f>
        <v>100</v>
      </c>
      <c r="O317" s="15">
        <f>N317 *$R$3</f>
        <v>1.5</v>
      </c>
    </row>
    <row r="318" spans="1:15" ht="15.75">
      <c r="A318" s="3">
        <v>99</v>
      </c>
      <c r="B318">
        <f>DAY(F318)</f>
        <v>17</v>
      </c>
      <c r="C318" t="str">
        <f>TEXT(F318, "mmmm")</f>
        <v>December</v>
      </c>
      <c r="D318" s="3">
        <f>MONTH(F318)</f>
        <v>12</v>
      </c>
      <c r="E318" s="3">
        <f>YEAR(F318)</f>
        <v>2023</v>
      </c>
      <c r="F318" s="2">
        <v>45277</v>
      </c>
      <c r="G318" s="3" t="s">
        <v>487</v>
      </c>
      <c r="H318" s="3" t="s">
        <v>198</v>
      </c>
      <c r="I318" s="3">
        <v>50</v>
      </c>
      <c r="J318" s="3"/>
      <c r="K318" s="3" t="s">
        <v>196</v>
      </c>
      <c r="L318" s="3">
        <v>4</v>
      </c>
      <c r="M318" s="4">
        <v>300</v>
      </c>
      <c r="N318">
        <f>L318 * M318</f>
        <v>1200</v>
      </c>
      <c r="O318" s="15">
        <f>N318 *$R$3</f>
        <v>18</v>
      </c>
    </row>
    <row r="319" spans="1:15" ht="15.75">
      <c r="A319" s="3">
        <v>237</v>
      </c>
      <c r="B319">
        <f>DAY(F319)</f>
        <v>4</v>
      </c>
      <c r="C319" t="str">
        <f>TEXT(F319, "mmmm")</f>
        <v>February</v>
      </c>
      <c r="D319" s="3">
        <f>MONTH(F319)</f>
        <v>2</v>
      </c>
      <c r="E319" s="3">
        <f>YEAR(F319)</f>
        <v>2023</v>
      </c>
      <c r="F319" s="2">
        <v>44961</v>
      </c>
      <c r="G319" s="3" t="s">
        <v>488</v>
      </c>
      <c r="H319" s="3" t="s">
        <v>198</v>
      </c>
      <c r="I319" s="3">
        <v>50</v>
      </c>
      <c r="J319" s="3"/>
      <c r="K319" s="3" t="s">
        <v>19</v>
      </c>
      <c r="L319" s="3">
        <v>2</v>
      </c>
      <c r="M319" s="4">
        <v>500</v>
      </c>
      <c r="N319">
        <f>L319 * M319</f>
        <v>1000</v>
      </c>
      <c r="O319" s="15">
        <f>N319 *$R$3</f>
        <v>15</v>
      </c>
    </row>
    <row r="320" spans="1:15" ht="15.75">
      <c r="A320" s="3">
        <v>279</v>
      </c>
      <c r="B320">
        <f>DAY(F320)</f>
        <v>5</v>
      </c>
      <c r="C320" t="str">
        <f>TEXT(F320, "mmmm")</f>
        <v>August</v>
      </c>
      <c r="D320" s="3">
        <f>MONTH(F320)</f>
        <v>8</v>
      </c>
      <c r="E320" s="3">
        <f>YEAR(F320)</f>
        <v>2023</v>
      </c>
      <c r="F320" s="2">
        <v>45143</v>
      </c>
      <c r="G320" s="3" t="s">
        <v>489</v>
      </c>
      <c r="H320" s="3" t="s">
        <v>18</v>
      </c>
      <c r="I320" s="3">
        <v>50</v>
      </c>
      <c r="J320" s="3"/>
      <c r="K320" s="3" t="s">
        <v>195</v>
      </c>
      <c r="L320" s="3">
        <v>1</v>
      </c>
      <c r="M320" s="4">
        <v>500</v>
      </c>
      <c r="N320">
        <f>L320 * M320</f>
        <v>500</v>
      </c>
      <c r="O320" s="15">
        <f>N320 *$R$3</f>
        <v>7.5</v>
      </c>
    </row>
    <row r="321" spans="1:15" ht="15.75">
      <c r="A321" s="3">
        <v>293</v>
      </c>
      <c r="B321">
        <f>DAY(F321)</f>
        <v>2</v>
      </c>
      <c r="C321" t="str">
        <f>TEXT(F321, "mmmm")</f>
        <v>May</v>
      </c>
      <c r="D321" s="3">
        <f>MONTH(F321)</f>
        <v>5</v>
      </c>
      <c r="E321" s="3">
        <f>YEAR(F321)</f>
        <v>2023</v>
      </c>
      <c r="F321" s="2">
        <v>45048</v>
      </c>
      <c r="G321" s="3" t="s">
        <v>490</v>
      </c>
      <c r="H321" s="3" t="s">
        <v>18</v>
      </c>
      <c r="I321" s="3">
        <v>50</v>
      </c>
      <c r="J321" s="3"/>
      <c r="K321" s="3" t="s">
        <v>196</v>
      </c>
      <c r="L321" s="3">
        <v>3</v>
      </c>
      <c r="M321" s="4">
        <v>30</v>
      </c>
      <c r="N321">
        <f>L321 * M321</f>
        <v>90</v>
      </c>
      <c r="O321" s="15">
        <f>N321 *$R$3</f>
        <v>1.3499999999999999</v>
      </c>
    </row>
    <row r="322" spans="1:15" ht="15.75">
      <c r="A322" s="3">
        <v>356</v>
      </c>
      <c r="B322">
        <f>DAY(F322)</f>
        <v>10</v>
      </c>
      <c r="C322" t="str">
        <f>TEXT(F322, "mmmm")</f>
        <v>June</v>
      </c>
      <c r="D322" s="3">
        <f>MONTH(F322)</f>
        <v>6</v>
      </c>
      <c r="E322" s="3">
        <f>YEAR(F322)</f>
        <v>2023</v>
      </c>
      <c r="F322" s="2">
        <v>45087</v>
      </c>
      <c r="G322" s="3" t="s">
        <v>491</v>
      </c>
      <c r="H322" s="3" t="s">
        <v>18</v>
      </c>
      <c r="I322" s="3">
        <v>50</v>
      </c>
      <c r="J322" s="3"/>
      <c r="K322" s="3" t="s">
        <v>196</v>
      </c>
      <c r="L322" s="3">
        <v>3</v>
      </c>
      <c r="M322" s="4">
        <v>500</v>
      </c>
      <c r="N322">
        <f>L322 * M322</f>
        <v>1500</v>
      </c>
      <c r="O322" s="15">
        <f>N322 *$R$3</f>
        <v>22.5</v>
      </c>
    </row>
    <row r="323" spans="1:15" ht="15.75">
      <c r="A323" s="3">
        <v>359</v>
      </c>
      <c r="B323">
        <f>DAY(F323)</f>
        <v>22</v>
      </c>
      <c r="C323" t="str">
        <f>TEXT(F323, "mmmm")</f>
        <v>July</v>
      </c>
      <c r="D323" s="3">
        <f>MONTH(F323)</f>
        <v>7</v>
      </c>
      <c r="E323" s="3">
        <f>YEAR(F323)</f>
        <v>2023</v>
      </c>
      <c r="F323" s="2">
        <v>45129</v>
      </c>
      <c r="G323" s="3" t="s">
        <v>492</v>
      </c>
      <c r="H323" s="3" t="s">
        <v>18</v>
      </c>
      <c r="I323" s="3">
        <v>50</v>
      </c>
      <c r="J323" s="3"/>
      <c r="K323" s="3" t="s">
        <v>195</v>
      </c>
      <c r="L323" s="3">
        <v>1</v>
      </c>
      <c r="M323" s="4">
        <v>50</v>
      </c>
      <c r="N323">
        <f>L323 * M323</f>
        <v>50</v>
      </c>
      <c r="O323" s="15">
        <f>N323 *$R$3</f>
        <v>0.75</v>
      </c>
    </row>
    <row r="324" spans="1:15" ht="15.75">
      <c r="A324" s="3">
        <v>362</v>
      </c>
      <c r="B324">
        <f>DAY(F324)</f>
        <v>27</v>
      </c>
      <c r="C324" t="str">
        <f>TEXT(F324, "mmmm")</f>
        <v>November</v>
      </c>
      <c r="D324" s="3">
        <f>MONTH(F324)</f>
        <v>11</v>
      </c>
      <c r="E324" s="3">
        <f>YEAR(F324)</f>
        <v>2023</v>
      </c>
      <c r="F324" s="2">
        <v>45257</v>
      </c>
      <c r="G324" s="3" t="s">
        <v>493</v>
      </c>
      <c r="H324" s="3" t="s">
        <v>18</v>
      </c>
      <c r="I324" s="3">
        <v>50</v>
      </c>
      <c r="J324" s="3"/>
      <c r="K324" s="3" t="s">
        <v>195</v>
      </c>
      <c r="L324" s="3">
        <v>1</v>
      </c>
      <c r="M324" s="4">
        <v>25</v>
      </c>
      <c r="N324">
        <f>L324 * M324</f>
        <v>25</v>
      </c>
      <c r="O324" s="15">
        <f>N324 *$R$3</f>
        <v>0.375</v>
      </c>
    </row>
    <row r="325" spans="1:15" ht="15.75">
      <c r="A325" s="3">
        <v>378</v>
      </c>
      <c r="B325">
        <f>DAY(F325)</f>
        <v>28</v>
      </c>
      <c r="C325" t="str">
        <f>TEXT(F325, "mmmm")</f>
        <v>June</v>
      </c>
      <c r="D325" s="3">
        <f>MONTH(F325)</f>
        <v>6</v>
      </c>
      <c r="E325" s="3">
        <f>YEAR(F325)</f>
        <v>2023</v>
      </c>
      <c r="F325" s="2">
        <v>45105</v>
      </c>
      <c r="G325" s="3" t="s">
        <v>119</v>
      </c>
      <c r="H325" s="3" t="s">
        <v>18</v>
      </c>
      <c r="I325" s="3">
        <v>50</v>
      </c>
      <c r="J325" s="3"/>
      <c r="K325" s="3" t="s">
        <v>19</v>
      </c>
      <c r="L325" s="3">
        <v>1</v>
      </c>
      <c r="M325" s="4">
        <v>300</v>
      </c>
      <c r="N325">
        <f>L325 * M325</f>
        <v>300</v>
      </c>
      <c r="O325" s="15">
        <f>N325 *$R$3</f>
        <v>4.5</v>
      </c>
    </row>
    <row r="326" spans="1:15" ht="15.75">
      <c r="A326" s="3">
        <v>385</v>
      </c>
      <c r="B326">
        <f>DAY(F326)</f>
        <v>6</v>
      </c>
      <c r="C326" t="str">
        <f>TEXT(F326, "mmmm")</f>
        <v>October</v>
      </c>
      <c r="D326" s="3">
        <f>MONTH(F326)</f>
        <v>10</v>
      </c>
      <c r="E326" s="3">
        <f>YEAR(F326)</f>
        <v>2023</v>
      </c>
      <c r="F326" s="2">
        <v>45205</v>
      </c>
      <c r="G326" s="3" t="s">
        <v>494</v>
      </c>
      <c r="H326" s="3" t="s">
        <v>18</v>
      </c>
      <c r="I326" s="3">
        <v>50</v>
      </c>
      <c r="J326" s="3"/>
      <c r="K326" s="3" t="s">
        <v>196</v>
      </c>
      <c r="L326" s="3">
        <v>3</v>
      </c>
      <c r="M326" s="4">
        <v>500</v>
      </c>
      <c r="N326">
        <f>L326 * M326</f>
        <v>1500</v>
      </c>
      <c r="O326" s="15">
        <f>N326 *$R$3</f>
        <v>22.5</v>
      </c>
    </row>
    <row r="327" spans="1:15" ht="15.75">
      <c r="A327" s="3">
        <v>388</v>
      </c>
      <c r="B327">
        <f>DAY(F327)</f>
        <v>10</v>
      </c>
      <c r="C327" t="str">
        <f>TEXT(F327, "mmmm")</f>
        <v>November</v>
      </c>
      <c r="D327" s="3">
        <f>MONTH(F327)</f>
        <v>11</v>
      </c>
      <c r="E327" s="3">
        <f>YEAR(F327)</f>
        <v>2023</v>
      </c>
      <c r="F327" s="2">
        <v>45240</v>
      </c>
      <c r="G327" s="3" t="s">
        <v>495</v>
      </c>
      <c r="H327" s="3" t="s">
        <v>18</v>
      </c>
      <c r="I327" s="3">
        <v>50</v>
      </c>
      <c r="J327" s="3"/>
      <c r="K327" s="3" t="s">
        <v>196</v>
      </c>
      <c r="L327" s="3">
        <v>1</v>
      </c>
      <c r="M327" s="4">
        <v>25</v>
      </c>
      <c r="N327">
        <f>L327 * M327</f>
        <v>25</v>
      </c>
      <c r="O327" s="15">
        <f>N327 *$R$3</f>
        <v>0.375</v>
      </c>
    </row>
    <row r="328" spans="1:15" ht="15.75">
      <c r="A328" s="3">
        <v>395</v>
      </c>
      <c r="B328">
        <f>DAY(F328)</f>
        <v>6</v>
      </c>
      <c r="C328" t="str">
        <f>TEXT(F328, "mmmm")</f>
        <v>December</v>
      </c>
      <c r="D328" s="3">
        <f>MONTH(F328)</f>
        <v>12</v>
      </c>
      <c r="E328" s="3">
        <f>YEAR(F328)</f>
        <v>2023</v>
      </c>
      <c r="F328" s="2">
        <v>45266</v>
      </c>
      <c r="G328" s="3" t="s">
        <v>496</v>
      </c>
      <c r="H328" s="3" t="s">
        <v>18</v>
      </c>
      <c r="I328" s="3">
        <v>50</v>
      </c>
      <c r="J328" s="3"/>
      <c r="K328" s="3" t="s">
        <v>196</v>
      </c>
      <c r="L328" s="3">
        <v>2</v>
      </c>
      <c r="M328" s="4">
        <v>500</v>
      </c>
      <c r="N328">
        <f>L328 * M328</f>
        <v>1000</v>
      </c>
      <c r="O328" s="15">
        <f>N328 *$R$3</f>
        <v>15</v>
      </c>
    </row>
    <row r="329" spans="1:15" ht="15.75">
      <c r="A329" s="3">
        <v>439</v>
      </c>
      <c r="B329">
        <f>DAY(F329)</f>
        <v>9</v>
      </c>
      <c r="C329" t="str">
        <f>TEXT(F329, "mmmm")</f>
        <v>July</v>
      </c>
      <c r="D329" s="3">
        <f>MONTH(F329)</f>
        <v>7</v>
      </c>
      <c r="E329" s="3">
        <f>YEAR(F329)</f>
        <v>2023</v>
      </c>
      <c r="F329" s="2">
        <v>45116</v>
      </c>
      <c r="G329" s="3" t="s">
        <v>497</v>
      </c>
      <c r="H329" s="3" t="s">
        <v>18</v>
      </c>
      <c r="I329" s="3">
        <v>50</v>
      </c>
      <c r="J329" s="3"/>
      <c r="K329" s="3" t="s">
        <v>195</v>
      </c>
      <c r="L329" s="3">
        <v>3</v>
      </c>
      <c r="M329" s="4">
        <v>25</v>
      </c>
      <c r="N329">
        <f>L329 * M329</f>
        <v>75</v>
      </c>
      <c r="O329" s="15">
        <f>N329 *$R$3</f>
        <v>1.125</v>
      </c>
    </row>
    <row r="330" spans="1:15" ht="15.75">
      <c r="A330" s="3">
        <v>498</v>
      </c>
      <c r="B330">
        <f>DAY(F330)</f>
        <v>19</v>
      </c>
      <c r="C330" t="str">
        <f>TEXT(F330, "mmmm")</f>
        <v>June</v>
      </c>
      <c r="D330" s="3">
        <f>MONTH(F330)</f>
        <v>6</v>
      </c>
      <c r="E330" s="3">
        <f>YEAR(F330)</f>
        <v>2023</v>
      </c>
      <c r="F330" s="2">
        <v>45096</v>
      </c>
      <c r="G330" s="3" t="s">
        <v>498</v>
      </c>
      <c r="H330" s="3" t="s">
        <v>198</v>
      </c>
      <c r="I330" s="3">
        <v>50</v>
      </c>
      <c r="J330" s="3"/>
      <c r="K330" s="3" t="s">
        <v>195</v>
      </c>
      <c r="L330" s="3">
        <v>4</v>
      </c>
      <c r="M330" s="4">
        <v>25</v>
      </c>
      <c r="N330">
        <f>L330 * M330</f>
        <v>100</v>
      </c>
      <c r="O330" s="15">
        <f>N330 *$R$3</f>
        <v>1.5</v>
      </c>
    </row>
    <row r="331" spans="1:15" ht="15.75">
      <c r="A331" s="3">
        <v>549</v>
      </c>
      <c r="B331">
        <f>DAY(F331)</f>
        <v>4</v>
      </c>
      <c r="C331" t="str">
        <f>TEXT(F331, "mmmm")</f>
        <v>August</v>
      </c>
      <c r="D331" s="3">
        <f>MONTH(F331)</f>
        <v>8</v>
      </c>
      <c r="E331" s="3">
        <f>YEAR(F331)</f>
        <v>2023</v>
      </c>
      <c r="F331" s="2">
        <v>45142</v>
      </c>
      <c r="G331" s="3" t="s">
        <v>499</v>
      </c>
      <c r="H331" s="3" t="s">
        <v>198</v>
      </c>
      <c r="I331" s="3">
        <v>50</v>
      </c>
      <c r="J331" s="3"/>
      <c r="K331" s="3" t="s">
        <v>19</v>
      </c>
      <c r="L331" s="3">
        <v>2</v>
      </c>
      <c r="M331" s="4">
        <v>50</v>
      </c>
      <c r="N331">
        <f>L331 * M331</f>
        <v>100</v>
      </c>
      <c r="O331" s="15">
        <f>N331 *$R$3</f>
        <v>1.5</v>
      </c>
    </row>
    <row r="332" spans="1:15" ht="15.75">
      <c r="A332" s="3">
        <v>564</v>
      </c>
      <c r="B332">
        <f>DAY(F332)</f>
        <v>24</v>
      </c>
      <c r="C332" t="str">
        <f>TEXT(F332, "mmmm")</f>
        <v>October</v>
      </c>
      <c r="D332" s="3">
        <f>MONTH(F332)</f>
        <v>10</v>
      </c>
      <c r="E332" s="3">
        <f>YEAR(F332)</f>
        <v>2023</v>
      </c>
      <c r="F332" s="2">
        <v>45223</v>
      </c>
      <c r="G332" s="3" t="s">
        <v>500</v>
      </c>
      <c r="H332" s="3" t="s">
        <v>18</v>
      </c>
      <c r="I332" s="3">
        <v>50</v>
      </c>
      <c r="J332" s="3"/>
      <c r="K332" s="3" t="s">
        <v>196</v>
      </c>
      <c r="L332" s="3">
        <v>2</v>
      </c>
      <c r="M332" s="4">
        <v>50</v>
      </c>
      <c r="N332">
        <f>L332 * M332</f>
        <v>100</v>
      </c>
      <c r="O332" s="15">
        <f>N332 *$R$3</f>
        <v>1.5</v>
      </c>
    </row>
    <row r="333" spans="1:15" ht="15.75">
      <c r="A333" s="3">
        <v>586</v>
      </c>
      <c r="B333">
        <f>DAY(F333)</f>
        <v>11</v>
      </c>
      <c r="C333" t="str">
        <f>TEXT(F333, "mmmm")</f>
        <v>December</v>
      </c>
      <c r="D333" s="3">
        <f>MONTH(F333)</f>
        <v>12</v>
      </c>
      <c r="E333" s="3">
        <f>YEAR(F333)</f>
        <v>2023</v>
      </c>
      <c r="F333" s="2">
        <v>45271</v>
      </c>
      <c r="G333" s="3" t="s">
        <v>501</v>
      </c>
      <c r="H333" s="3" t="s">
        <v>18</v>
      </c>
      <c r="I333" s="3">
        <v>50</v>
      </c>
      <c r="J333" s="3"/>
      <c r="K333" s="3" t="s">
        <v>196</v>
      </c>
      <c r="L333" s="3">
        <v>1</v>
      </c>
      <c r="M333" s="4">
        <v>50</v>
      </c>
      <c r="N333">
        <f>L333 * M333</f>
        <v>50</v>
      </c>
      <c r="O333" s="15">
        <f>N333 *$R$3</f>
        <v>0.75</v>
      </c>
    </row>
    <row r="334" spans="1:15" ht="15.75">
      <c r="A334" s="3">
        <v>696</v>
      </c>
      <c r="B334">
        <f>DAY(F334)</f>
        <v>6</v>
      </c>
      <c r="C334" t="str">
        <f>TEXT(F334, "mmmm")</f>
        <v>September</v>
      </c>
      <c r="D334" s="3">
        <f>MONTH(F334)</f>
        <v>9</v>
      </c>
      <c r="E334" s="3">
        <f>YEAR(F334)</f>
        <v>2023</v>
      </c>
      <c r="F334" s="2">
        <v>45175</v>
      </c>
      <c r="G334" s="3" t="s">
        <v>502</v>
      </c>
      <c r="H334" s="3" t="s">
        <v>198</v>
      </c>
      <c r="I334" s="3">
        <v>50</v>
      </c>
      <c r="J334" s="3"/>
      <c r="K334" s="3" t="s">
        <v>195</v>
      </c>
      <c r="L334" s="3">
        <v>4</v>
      </c>
      <c r="M334" s="4">
        <v>50</v>
      </c>
      <c r="N334">
        <f>L334 * M334</f>
        <v>200</v>
      </c>
      <c r="O334" s="15">
        <f>N334 *$R$3</f>
        <v>3</v>
      </c>
    </row>
    <row r="335" spans="1:15" ht="15.75">
      <c r="A335" s="3">
        <v>807</v>
      </c>
      <c r="B335">
        <f>DAY(F335)</f>
        <v>11</v>
      </c>
      <c r="C335" t="str">
        <f>TEXT(F335, "mmmm")</f>
        <v>August</v>
      </c>
      <c r="D335" s="3">
        <f>MONTH(F335)</f>
        <v>8</v>
      </c>
      <c r="E335" s="3">
        <f>YEAR(F335)</f>
        <v>2023</v>
      </c>
      <c r="F335" s="2">
        <v>45149</v>
      </c>
      <c r="G335" s="3" t="s">
        <v>503</v>
      </c>
      <c r="H335" s="3" t="s">
        <v>198</v>
      </c>
      <c r="I335" s="3">
        <v>50</v>
      </c>
      <c r="J335" s="3"/>
      <c r="K335" s="3" t="s">
        <v>196</v>
      </c>
      <c r="L335" s="3">
        <v>4</v>
      </c>
      <c r="M335" s="4">
        <v>50</v>
      </c>
      <c r="N335">
        <f>L335 * M335</f>
        <v>200</v>
      </c>
      <c r="O335" s="15">
        <f>N335 *$R$3</f>
        <v>3</v>
      </c>
    </row>
    <row r="336" spans="1:15" ht="15.75">
      <c r="A336" s="3">
        <v>947</v>
      </c>
      <c r="B336">
        <f>DAY(F336)</f>
        <v>2</v>
      </c>
      <c r="C336" t="str">
        <f>TEXT(F336, "mmmm")</f>
        <v>March</v>
      </c>
      <c r="D336" s="3">
        <f>MONTH(F336)</f>
        <v>3</v>
      </c>
      <c r="E336" s="3">
        <f>YEAR(F336)</f>
        <v>2023</v>
      </c>
      <c r="F336" s="2">
        <v>44987</v>
      </c>
      <c r="G336" s="3" t="s">
        <v>115</v>
      </c>
      <c r="H336" s="3" t="s">
        <v>18</v>
      </c>
      <c r="I336" s="3">
        <v>50</v>
      </c>
      <c r="J336" s="3"/>
      <c r="K336" s="3" t="s">
        <v>19</v>
      </c>
      <c r="L336" s="3">
        <v>1</v>
      </c>
      <c r="M336" s="4">
        <v>300</v>
      </c>
      <c r="N336">
        <f>L336 * M336</f>
        <v>300</v>
      </c>
      <c r="O336" s="15">
        <f>N336 *$R$3</f>
        <v>4.5</v>
      </c>
    </row>
    <row r="337" spans="1:15" ht="15.75">
      <c r="A337" s="3">
        <v>954</v>
      </c>
      <c r="B337">
        <f>DAY(F337)</f>
        <v>25</v>
      </c>
      <c r="C337" t="str">
        <f>TEXT(F337, "mmmm")</f>
        <v>September</v>
      </c>
      <c r="D337" s="3">
        <f>MONTH(F337)</f>
        <v>9</v>
      </c>
      <c r="E337" s="3">
        <f>YEAR(F337)</f>
        <v>2023</v>
      </c>
      <c r="F337" s="2">
        <v>45194</v>
      </c>
      <c r="G337" s="3" t="s">
        <v>504</v>
      </c>
      <c r="H337" s="3" t="s">
        <v>198</v>
      </c>
      <c r="I337" s="3">
        <v>50</v>
      </c>
      <c r="J337" s="3"/>
      <c r="K337" s="3" t="s">
        <v>196</v>
      </c>
      <c r="L337" s="3">
        <v>3</v>
      </c>
      <c r="M337" s="4">
        <v>300</v>
      </c>
      <c r="N337">
        <f>L337 * M337</f>
        <v>900</v>
      </c>
      <c r="O337" s="15">
        <f>N337 *$R$3</f>
        <v>13.5</v>
      </c>
    </row>
    <row r="338" spans="1:15" ht="15.75">
      <c r="A338" s="3">
        <v>24</v>
      </c>
      <c r="B338">
        <f>DAY(F338)</f>
        <v>29</v>
      </c>
      <c r="C338" t="str">
        <f>TEXT(F338, "mmmm")</f>
        <v>November</v>
      </c>
      <c r="D338" s="3">
        <f>MONTH(F338)</f>
        <v>11</v>
      </c>
      <c r="E338" s="3">
        <f>YEAR(F338)</f>
        <v>2023</v>
      </c>
      <c r="F338" s="2">
        <v>45259</v>
      </c>
      <c r="G338" s="3" t="s">
        <v>505</v>
      </c>
      <c r="H338" s="3" t="s">
        <v>198</v>
      </c>
      <c r="I338" s="3">
        <v>49</v>
      </c>
      <c r="J338" s="3"/>
      <c r="K338" s="3" t="s">
        <v>195</v>
      </c>
      <c r="L338" s="3">
        <v>1</v>
      </c>
      <c r="M338" s="4">
        <v>300</v>
      </c>
      <c r="N338">
        <f>L338 * M338</f>
        <v>300</v>
      </c>
      <c r="O338" s="15">
        <f>N338 *$R$3</f>
        <v>4.5</v>
      </c>
    </row>
    <row r="339" spans="1:15" ht="15.75">
      <c r="A339" s="3">
        <v>64</v>
      </c>
      <c r="B339">
        <f>DAY(F339)</f>
        <v>24</v>
      </c>
      <c r="C339" t="str">
        <f>TEXT(F339, "mmmm")</f>
        <v>January</v>
      </c>
      <c r="D339" s="3">
        <f>MONTH(F339)</f>
        <v>1</v>
      </c>
      <c r="E339" s="3">
        <f>YEAR(F339)</f>
        <v>2023</v>
      </c>
      <c r="F339" s="2">
        <v>44950</v>
      </c>
      <c r="G339" s="3" t="s">
        <v>506</v>
      </c>
      <c r="H339" s="3" t="s">
        <v>18</v>
      </c>
      <c r="I339" s="3">
        <v>49</v>
      </c>
      <c r="J339" s="3"/>
      <c r="K339" s="3" t="s">
        <v>195</v>
      </c>
      <c r="L339" s="3">
        <v>4</v>
      </c>
      <c r="M339" s="4">
        <v>25</v>
      </c>
      <c r="N339">
        <f>L339 * M339</f>
        <v>100</v>
      </c>
      <c r="O339" s="15">
        <f>N339 *$R$3</f>
        <v>1.5</v>
      </c>
    </row>
    <row r="340" spans="1:15" ht="15.75">
      <c r="A340" s="3">
        <v>134</v>
      </c>
      <c r="B340">
        <f>DAY(F340)</f>
        <v>25</v>
      </c>
      <c r="C340" t="str">
        <f>TEXT(F340, "mmmm")</f>
        <v>January</v>
      </c>
      <c r="D340" s="3">
        <f>MONTH(F340)</f>
        <v>1</v>
      </c>
      <c r="E340" s="3">
        <f>YEAR(F340)</f>
        <v>2023</v>
      </c>
      <c r="F340" s="2">
        <v>44951</v>
      </c>
      <c r="G340" s="3" t="s">
        <v>507</v>
      </c>
      <c r="H340" s="3" t="s">
        <v>18</v>
      </c>
      <c r="I340" s="3">
        <v>49</v>
      </c>
      <c r="J340" s="3"/>
      <c r="K340" s="3" t="s">
        <v>196</v>
      </c>
      <c r="L340" s="3">
        <v>1</v>
      </c>
      <c r="M340" s="4">
        <v>50</v>
      </c>
      <c r="N340">
        <f>L340 * M340</f>
        <v>50</v>
      </c>
      <c r="O340" s="15">
        <f>N340 *$R$3</f>
        <v>0.75</v>
      </c>
    </row>
    <row r="341" spans="1:15" ht="15.75">
      <c r="A341" s="3">
        <v>138</v>
      </c>
      <c r="B341">
        <f>DAY(F341)</f>
        <v>23</v>
      </c>
      <c r="C341" t="str">
        <f>TEXT(F341, "mmmm")</f>
        <v>March</v>
      </c>
      <c r="D341" s="3">
        <f>MONTH(F341)</f>
        <v>3</v>
      </c>
      <c r="E341" s="3">
        <f>YEAR(F341)</f>
        <v>2023</v>
      </c>
      <c r="F341" s="2">
        <v>45008</v>
      </c>
      <c r="G341" s="3" t="s">
        <v>508</v>
      </c>
      <c r="H341" s="3" t="s">
        <v>18</v>
      </c>
      <c r="I341" s="3">
        <v>49</v>
      </c>
      <c r="J341" s="3"/>
      <c r="K341" s="3" t="s">
        <v>195</v>
      </c>
      <c r="L341" s="3">
        <v>4</v>
      </c>
      <c r="M341" s="4">
        <v>50</v>
      </c>
      <c r="N341">
        <f>L341 * M341</f>
        <v>200</v>
      </c>
      <c r="O341" s="15">
        <f>N341 *$R$3</f>
        <v>3</v>
      </c>
    </row>
    <row r="342" spans="1:15" ht="15.75">
      <c r="A342" s="3">
        <v>354</v>
      </c>
      <c r="B342">
        <f>DAY(F342)</f>
        <v>15</v>
      </c>
      <c r="C342" t="str">
        <f>TEXT(F342, "mmmm")</f>
        <v>April</v>
      </c>
      <c r="D342" s="3">
        <f>MONTH(F342)</f>
        <v>4</v>
      </c>
      <c r="E342" s="3">
        <f>YEAR(F342)</f>
        <v>2023</v>
      </c>
      <c r="F342" s="2">
        <v>45031</v>
      </c>
      <c r="G342" s="3" t="s">
        <v>509</v>
      </c>
      <c r="H342" s="3" t="s">
        <v>198</v>
      </c>
      <c r="I342" s="3">
        <v>49</v>
      </c>
      <c r="J342" s="3"/>
      <c r="K342" s="3" t="s">
        <v>19</v>
      </c>
      <c r="L342" s="3">
        <v>4</v>
      </c>
      <c r="M342" s="4">
        <v>50</v>
      </c>
      <c r="N342">
        <f>L342 * M342</f>
        <v>200</v>
      </c>
      <c r="O342" s="15">
        <f>N342 *$R$3</f>
        <v>3</v>
      </c>
    </row>
    <row r="343" spans="1:15" ht="15.75">
      <c r="A343" s="3">
        <v>515</v>
      </c>
      <c r="B343">
        <f>DAY(F343)</f>
        <v>17</v>
      </c>
      <c r="C343" t="str">
        <f>TEXT(F343, "mmmm")</f>
        <v>July</v>
      </c>
      <c r="D343" s="3">
        <f>MONTH(F343)</f>
        <v>7</v>
      </c>
      <c r="E343" s="3">
        <f>YEAR(F343)</f>
        <v>2023</v>
      </c>
      <c r="F343" s="2">
        <v>45124</v>
      </c>
      <c r="G343" s="3" t="s">
        <v>510</v>
      </c>
      <c r="H343" s="3" t="s">
        <v>198</v>
      </c>
      <c r="I343" s="3">
        <v>49</v>
      </c>
      <c r="J343" s="3"/>
      <c r="K343" s="3" t="s">
        <v>195</v>
      </c>
      <c r="L343" s="3">
        <v>3</v>
      </c>
      <c r="M343" s="4">
        <v>300</v>
      </c>
      <c r="N343">
        <f>L343 * M343</f>
        <v>900</v>
      </c>
      <c r="O343" s="15">
        <f>N343 *$R$3</f>
        <v>13.5</v>
      </c>
    </row>
    <row r="344" spans="1:15" ht="15.75">
      <c r="A344" s="3">
        <v>520</v>
      </c>
      <c r="B344">
        <f>DAY(F344)</f>
        <v>29</v>
      </c>
      <c r="C344" t="str">
        <f>TEXT(F344, "mmmm")</f>
        <v>December</v>
      </c>
      <c r="D344" s="3">
        <f>MONTH(F344)</f>
        <v>12</v>
      </c>
      <c r="E344" s="3">
        <f>YEAR(F344)</f>
        <v>2023</v>
      </c>
      <c r="F344" s="2">
        <v>45289</v>
      </c>
      <c r="G344" s="3" t="s">
        <v>511</v>
      </c>
      <c r="H344" s="3" t="s">
        <v>198</v>
      </c>
      <c r="I344" s="3">
        <v>49</v>
      </c>
      <c r="J344" s="3"/>
      <c r="K344" s="3" t="s">
        <v>196</v>
      </c>
      <c r="L344" s="3">
        <v>4</v>
      </c>
      <c r="M344" s="4">
        <v>25</v>
      </c>
      <c r="N344">
        <f>L344 * M344</f>
        <v>100</v>
      </c>
      <c r="O344" s="15">
        <f>N344 *$R$3</f>
        <v>1.5</v>
      </c>
    </row>
    <row r="345" spans="1:15" ht="15.75">
      <c r="A345" s="3">
        <v>543</v>
      </c>
      <c r="B345">
        <f>DAY(F345)</f>
        <v>26</v>
      </c>
      <c r="C345" t="str">
        <f>TEXT(F345, "mmmm")</f>
        <v>July</v>
      </c>
      <c r="D345" s="3">
        <f>MONTH(F345)</f>
        <v>7</v>
      </c>
      <c r="E345" s="3">
        <f>YEAR(F345)</f>
        <v>2023</v>
      </c>
      <c r="F345" s="2">
        <v>45133</v>
      </c>
      <c r="G345" s="3" t="s">
        <v>127</v>
      </c>
      <c r="H345" s="3" t="s">
        <v>18</v>
      </c>
      <c r="I345" s="3">
        <v>49</v>
      </c>
      <c r="J345" s="3"/>
      <c r="K345" s="3" t="s">
        <v>19</v>
      </c>
      <c r="L345" s="3">
        <v>2</v>
      </c>
      <c r="M345" s="4">
        <v>300</v>
      </c>
      <c r="N345">
        <f>L345 * M345</f>
        <v>600</v>
      </c>
      <c r="O345" s="15">
        <f>N345 *$R$3</f>
        <v>9</v>
      </c>
    </row>
    <row r="346" spans="1:15" ht="15.75">
      <c r="A346" s="3">
        <v>552</v>
      </c>
      <c r="B346">
        <f>DAY(F346)</f>
        <v>13</v>
      </c>
      <c r="C346" t="str">
        <f>TEXT(F346, "mmmm")</f>
        <v>December</v>
      </c>
      <c r="D346" s="3">
        <f>MONTH(F346)</f>
        <v>12</v>
      </c>
      <c r="E346" s="3">
        <f>YEAR(F346)</f>
        <v>2023</v>
      </c>
      <c r="F346" s="2">
        <v>45273</v>
      </c>
      <c r="G346" s="3" t="s">
        <v>512</v>
      </c>
      <c r="H346" s="3" t="s">
        <v>198</v>
      </c>
      <c r="I346" s="3">
        <v>49</v>
      </c>
      <c r="J346" s="3"/>
      <c r="K346" s="3" t="s">
        <v>196</v>
      </c>
      <c r="L346" s="3">
        <v>3</v>
      </c>
      <c r="M346" s="4">
        <v>25</v>
      </c>
      <c r="N346">
        <f>L346 * M346</f>
        <v>75</v>
      </c>
      <c r="O346" s="15">
        <f>N346 *$R$3</f>
        <v>1.125</v>
      </c>
    </row>
    <row r="347" spans="1:15" ht="15.75">
      <c r="A347" s="3">
        <v>570</v>
      </c>
      <c r="B347">
        <f>DAY(F347)</f>
        <v>15</v>
      </c>
      <c r="C347" t="str">
        <f>TEXT(F347, "mmmm")</f>
        <v>August</v>
      </c>
      <c r="D347" s="3">
        <f>MONTH(F347)</f>
        <v>8</v>
      </c>
      <c r="E347" s="3">
        <f>YEAR(F347)</f>
        <v>2023</v>
      </c>
      <c r="F347" s="2">
        <v>45153</v>
      </c>
      <c r="G347" s="3" t="s">
        <v>513</v>
      </c>
      <c r="H347" s="3" t="s">
        <v>18</v>
      </c>
      <c r="I347" s="3">
        <v>49</v>
      </c>
      <c r="J347" s="3"/>
      <c r="K347" s="3" t="s">
        <v>195</v>
      </c>
      <c r="L347" s="3">
        <v>1</v>
      </c>
      <c r="M347" s="4">
        <v>500</v>
      </c>
      <c r="N347">
        <f>L347 * M347</f>
        <v>500</v>
      </c>
      <c r="O347" s="15">
        <f>N347 *$R$3</f>
        <v>7.5</v>
      </c>
    </row>
    <row r="348" spans="1:15" ht="15.75">
      <c r="A348" s="3">
        <v>573</v>
      </c>
      <c r="B348">
        <f>DAY(F348)</f>
        <v>19</v>
      </c>
      <c r="C348" t="str">
        <f>TEXT(F348, "mmmm")</f>
        <v>September</v>
      </c>
      <c r="D348" s="3">
        <f>MONTH(F348)</f>
        <v>9</v>
      </c>
      <c r="E348" s="3">
        <f>YEAR(F348)</f>
        <v>2023</v>
      </c>
      <c r="F348" s="2">
        <v>45188</v>
      </c>
      <c r="G348" s="3" t="s">
        <v>56</v>
      </c>
      <c r="H348" s="3" t="s">
        <v>18</v>
      </c>
      <c r="I348" s="3">
        <v>49</v>
      </c>
      <c r="J348" s="3"/>
      <c r="K348" s="3" t="s">
        <v>19</v>
      </c>
      <c r="L348" s="3">
        <v>2</v>
      </c>
      <c r="M348" s="4">
        <v>30</v>
      </c>
      <c r="N348">
        <f>L348 * M348</f>
        <v>60</v>
      </c>
      <c r="O348" s="15">
        <f>N348 *$R$3</f>
        <v>0.89999999999999991</v>
      </c>
    </row>
    <row r="349" spans="1:15" ht="15.75">
      <c r="A349" s="3">
        <v>622</v>
      </c>
      <c r="B349">
        <f>DAY(F349)</f>
        <v>22</v>
      </c>
      <c r="C349" t="str">
        <f>TEXT(F349, "mmmm")</f>
        <v>August</v>
      </c>
      <c r="D349" s="3">
        <f>MONTH(F349)</f>
        <v>8</v>
      </c>
      <c r="E349" s="3">
        <f>YEAR(F349)</f>
        <v>2023</v>
      </c>
      <c r="F349" s="2">
        <v>45160</v>
      </c>
      <c r="G349" s="3" t="s">
        <v>514</v>
      </c>
      <c r="H349" s="3" t="s">
        <v>198</v>
      </c>
      <c r="I349" s="3">
        <v>49</v>
      </c>
      <c r="J349" s="3"/>
      <c r="K349" s="3" t="s">
        <v>19</v>
      </c>
      <c r="L349" s="3">
        <v>3</v>
      </c>
      <c r="M349" s="4">
        <v>25</v>
      </c>
      <c r="N349">
        <f>L349 * M349</f>
        <v>75</v>
      </c>
      <c r="O349" s="15">
        <f>N349 *$R$3</f>
        <v>1.125</v>
      </c>
    </row>
    <row r="350" spans="1:15" ht="15.75">
      <c r="A350" s="3">
        <v>759</v>
      </c>
      <c r="B350">
        <f>DAY(F350)</f>
        <v>8</v>
      </c>
      <c r="C350" t="str">
        <f>TEXT(F350, "mmmm")</f>
        <v>July</v>
      </c>
      <c r="D350" s="3">
        <f>MONTH(F350)</f>
        <v>7</v>
      </c>
      <c r="E350" s="3">
        <f>YEAR(F350)</f>
        <v>2023</v>
      </c>
      <c r="F350" s="2">
        <v>45115</v>
      </c>
      <c r="G350" s="3" t="s">
        <v>515</v>
      </c>
      <c r="H350" s="3" t="s">
        <v>18</v>
      </c>
      <c r="I350" s="3">
        <v>49</v>
      </c>
      <c r="J350" s="3"/>
      <c r="K350" s="3" t="s">
        <v>196</v>
      </c>
      <c r="L350" s="3">
        <v>2</v>
      </c>
      <c r="M350" s="4">
        <v>50</v>
      </c>
      <c r="N350">
        <f>L350 * M350</f>
        <v>100</v>
      </c>
      <c r="O350" s="15">
        <f>N350 *$R$3</f>
        <v>1.5</v>
      </c>
    </row>
    <row r="351" spans="1:15" ht="15.75">
      <c r="A351" s="3">
        <v>820</v>
      </c>
      <c r="B351">
        <f>DAY(F351)</f>
        <v>6</v>
      </c>
      <c r="C351" t="str">
        <f>TEXT(F351, "mmmm")</f>
        <v>May</v>
      </c>
      <c r="D351" s="3">
        <f>MONTH(F351)</f>
        <v>5</v>
      </c>
      <c r="E351" s="3">
        <f>YEAR(F351)</f>
        <v>2023</v>
      </c>
      <c r="F351" s="2">
        <v>45052</v>
      </c>
      <c r="G351" s="3" t="s">
        <v>516</v>
      </c>
      <c r="H351" s="3" t="s">
        <v>18</v>
      </c>
      <c r="I351" s="3">
        <v>49</v>
      </c>
      <c r="J351" s="3"/>
      <c r="K351" s="3" t="s">
        <v>196</v>
      </c>
      <c r="L351" s="3">
        <v>4</v>
      </c>
      <c r="M351" s="4">
        <v>50</v>
      </c>
      <c r="N351">
        <f>L351 * M351</f>
        <v>200</v>
      </c>
      <c r="O351" s="15">
        <f>N351 *$R$3</f>
        <v>3</v>
      </c>
    </row>
    <row r="352" spans="1:15" ht="15.75">
      <c r="A352" s="3">
        <v>821</v>
      </c>
      <c r="B352">
        <f>DAY(F352)</f>
        <v>14</v>
      </c>
      <c r="C352" t="str">
        <f>TEXT(F352, "mmmm")</f>
        <v>February</v>
      </c>
      <c r="D352" s="3">
        <f>MONTH(F352)</f>
        <v>2</v>
      </c>
      <c r="E352" s="3">
        <f>YEAR(F352)</f>
        <v>2023</v>
      </c>
      <c r="F352" s="2">
        <v>44971</v>
      </c>
      <c r="G352" s="3" t="s">
        <v>517</v>
      </c>
      <c r="H352" s="3" t="s">
        <v>18</v>
      </c>
      <c r="I352" s="3">
        <v>49</v>
      </c>
      <c r="J352" s="3"/>
      <c r="K352" s="3" t="s">
        <v>196</v>
      </c>
      <c r="L352" s="3">
        <v>1</v>
      </c>
      <c r="M352" s="4">
        <v>300</v>
      </c>
      <c r="N352">
        <f>L352 * M352</f>
        <v>300</v>
      </c>
      <c r="O352" s="15">
        <f>N352 *$R$3</f>
        <v>4.5</v>
      </c>
    </row>
    <row r="353" spans="1:15" ht="15.75">
      <c r="A353" s="3">
        <v>893</v>
      </c>
      <c r="B353">
        <f>DAY(F353)</f>
        <v>21</v>
      </c>
      <c r="C353" t="str">
        <f>TEXT(F353, "mmmm")</f>
        <v>April</v>
      </c>
      <c r="D353" s="3">
        <f>MONTH(F353)</f>
        <v>4</v>
      </c>
      <c r="E353" s="3">
        <f>YEAR(F353)</f>
        <v>2023</v>
      </c>
      <c r="F353" s="2">
        <v>45037</v>
      </c>
      <c r="G353" s="3" t="s">
        <v>518</v>
      </c>
      <c r="H353" s="3" t="s">
        <v>18</v>
      </c>
      <c r="I353" s="3">
        <v>49</v>
      </c>
      <c r="J353" s="3"/>
      <c r="K353" s="3" t="s">
        <v>196</v>
      </c>
      <c r="L353" s="3">
        <v>1</v>
      </c>
      <c r="M353" s="4">
        <v>50</v>
      </c>
      <c r="N353">
        <f>L353 * M353</f>
        <v>50</v>
      </c>
      <c r="O353" s="15">
        <f>N353 *$R$3</f>
        <v>0.75</v>
      </c>
    </row>
    <row r="354" spans="1:15" ht="15.75">
      <c r="A354" s="3">
        <v>938</v>
      </c>
      <c r="B354">
        <f>DAY(F354)</f>
        <v>19</v>
      </c>
      <c r="C354" t="str">
        <f>TEXT(F354, "mmmm")</f>
        <v>November</v>
      </c>
      <c r="D354" s="3">
        <f>MONTH(F354)</f>
        <v>11</v>
      </c>
      <c r="E354" s="3">
        <f>YEAR(F354)</f>
        <v>2023</v>
      </c>
      <c r="F354" s="2">
        <v>45249</v>
      </c>
      <c r="G354" s="3" t="s">
        <v>519</v>
      </c>
      <c r="H354" s="3" t="s">
        <v>18</v>
      </c>
      <c r="I354" s="3">
        <v>49</v>
      </c>
      <c r="J354" s="3"/>
      <c r="K354" s="3" t="s">
        <v>195</v>
      </c>
      <c r="L354" s="3">
        <v>4</v>
      </c>
      <c r="M354" s="4">
        <v>50</v>
      </c>
      <c r="N354">
        <f>L354 * M354</f>
        <v>200</v>
      </c>
      <c r="O354" s="15">
        <f>N354 *$R$3</f>
        <v>3</v>
      </c>
    </row>
    <row r="355" spans="1:15" ht="15.75">
      <c r="A355" s="3">
        <v>972</v>
      </c>
      <c r="B355">
        <f>DAY(F355)</f>
        <v>11</v>
      </c>
      <c r="C355" t="str">
        <f>TEXT(F355, "mmmm")</f>
        <v>February</v>
      </c>
      <c r="D355" s="3">
        <f>MONTH(F355)</f>
        <v>2</v>
      </c>
      <c r="E355" s="3">
        <f>YEAR(F355)</f>
        <v>2023</v>
      </c>
      <c r="F355" s="2">
        <v>44968</v>
      </c>
      <c r="G355" s="3" t="s">
        <v>81</v>
      </c>
      <c r="H355" s="3" t="s">
        <v>18</v>
      </c>
      <c r="I355" s="3">
        <v>49</v>
      </c>
      <c r="J355" s="3"/>
      <c r="K355" s="3" t="s">
        <v>19</v>
      </c>
      <c r="L355" s="3">
        <v>4</v>
      </c>
      <c r="M355" s="4">
        <v>25</v>
      </c>
      <c r="N355">
        <f>L355 * M355</f>
        <v>100</v>
      </c>
      <c r="O355" s="15">
        <f>N355 *$R$3</f>
        <v>1.5</v>
      </c>
    </row>
    <row r="356" spans="1:15" ht="15.75">
      <c r="A356" s="3">
        <v>986</v>
      </c>
      <c r="B356">
        <f>DAY(F356)</f>
        <v>17</v>
      </c>
      <c r="C356" t="str">
        <f>TEXT(F356, "mmmm")</f>
        <v>January</v>
      </c>
      <c r="D356" s="3">
        <f>MONTH(F356)</f>
        <v>1</v>
      </c>
      <c r="E356" s="3">
        <f>YEAR(F356)</f>
        <v>2023</v>
      </c>
      <c r="F356" s="2">
        <v>44943</v>
      </c>
      <c r="G356" s="3" t="s">
        <v>520</v>
      </c>
      <c r="H356" s="3" t="s">
        <v>198</v>
      </c>
      <c r="I356" s="3">
        <v>49</v>
      </c>
      <c r="J356" s="3"/>
      <c r="K356" s="3" t="s">
        <v>195</v>
      </c>
      <c r="L356" s="3">
        <v>2</v>
      </c>
      <c r="M356" s="4">
        <v>500</v>
      </c>
      <c r="N356">
        <f>L356 * M356</f>
        <v>1000</v>
      </c>
      <c r="O356" s="15">
        <f>N356 *$R$3</f>
        <v>15</v>
      </c>
    </row>
    <row r="357" spans="1:15" ht="15.75">
      <c r="A357" s="3">
        <v>43</v>
      </c>
      <c r="B357">
        <f>DAY(F357)</f>
        <v>14</v>
      </c>
      <c r="C357" t="str">
        <f>TEXT(F357, "mmmm")</f>
        <v>July</v>
      </c>
      <c r="D357" s="3">
        <f>MONTH(F357)</f>
        <v>7</v>
      </c>
      <c r="E357" s="3">
        <f>YEAR(F357)</f>
        <v>2023</v>
      </c>
      <c r="F357" s="2">
        <v>45121</v>
      </c>
      <c r="G357" s="3" t="s">
        <v>521</v>
      </c>
      <c r="H357" s="3" t="s">
        <v>198</v>
      </c>
      <c r="I357" s="3">
        <v>48</v>
      </c>
      <c r="J357" s="3"/>
      <c r="K357" s="3" t="s">
        <v>195</v>
      </c>
      <c r="L357" s="3">
        <v>1</v>
      </c>
      <c r="M357" s="4">
        <v>300</v>
      </c>
      <c r="N357">
        <f>L357 * M357</f>
        <v>300</v>
      </c>
      <c r="O357" s="15">
        <f>N357 *$R$3</f>
        <v>4.5</v>
      </c>
    </row>
    <row r="358" spans="1:15" ht="15.75">
      <c r="A358" s="3">
        <v>67</v>
      </c>
      <c r="B358">
        <f>DAY(F358)</f>
        <v>29</v>
      </c>
      <c r="C358" t="str">
        <f>TEXT(F358, "mmmm")</f>
        <v>May</v>
      </c>
      <c r="D358" s="3">
        <f>MONTH(F358)</f>
        <v>5</v>
      </c>
      <c r="E358" s="3">
        <f>YEAR(F358)</f>
        <v>2023</v>
      </c>
      <c r="F358" s="2">
        <v>45075</v>
      </c>
      <c r="G358" s="3" t="s">
        <v>522</v>
      </c>
      <c r="H358" s="3" t="s">
        <v>198</v>
      </c>
      <c r="I358" s="3">
        <v>48</v>
      </c>
      <c r="J358" s="3"/>
      <c r="K358" s="3" t="s">
        <v>19</v>
      </c>
      <c r="L358" s="3">
        <v>4</v>
      </c>
      <c r="M358" s="4">
        <v>300</v>
      </c>
      <c r="N358">
        <f>L358 * M358</f>
        <v>1200</v>
      </c>
      <c r="O358" s="15">
        <f>N358 *$R$3</f>
        <v>18</v>
      </c>
    </row>
    <row r="359" spans="1:15" ht="15.75">
      <c r="A359" s="3">
        <v>125</v>
      </c>
      <c r="B359">
        <f>DAY(F359)</f>
        <v>8</v>
      </c>
      <c r="C359" t="str">
        <f>TEXT(F359, "mmmm")</f>
        <v>August</v>
      </c>
      <c r="D359" s="3">
        <f>MONTH(F359)</f>
        <v>8</v>
      </c>
      <c r="E359" s="3">
        <f>YEAR(F359)</f>
        <v>2023</v>
      </c>
      <c r="F359" s="2">
        <v>45146</v>
      </c>
      <c r="G359" s="3" t="s">
        <v>523</v>
      </c>
      <c r="H359" s="3" t="s">
        <v>18</v>
      </c>
      <c r="I359" s="3">
        <v>48</v>
      </c>
      <c r="J359" s="3"/>
      <c r="K359" s="3" t="s">
        <v>195</v>
      </c>
      <c r="L359" s="3">
        <v>2</v>
      </c>
      <c r="M359" s="4">
        <v>50</v>
      </c>
      <c r="N359">
        <f>L359 * M359</f>
        <v>100</v>
      </c>
      <c r="O359" s="15">
        <f>N359 *$R$3</f>
        <v>1.5</v>
      </c>
    </row>
    <row r="360" spans="1:15" ht="15.75">
      <c r="A360" s="3">
        <v>246</v>
      </c>
      <c r="B360">
        <f>DAY(F360)</f>
        <v>20</v>
      </c>
      <c r="C360" t="str">
        <f>TEXT(F360, "mmmm")</f>
        <v>April</v>
      </c>
      <c r="D360" s="3">
        <f>MONTH(F360)</f>
        <v>4</v>
      </c>
      <c r="E360" s="3">
        <f>YEAR(F360)</f>
        <v>2023</v>
      </c>
      <c r="F360" s="2">
        <v>45036</v>
      </c>
      <c r="G360" s="3" t="s">
        <v>524</v>
      </c>
      <c r="H360" s="3" t="s">
        <v>198</v>
      </c>
      <c r="I360" s="3">
        <v>48</v>
      </c>
      <c r="J360" s="3"/>
      <c r="K360" s="3" t="s">
        <v>196</v>
      </c>
      <c r="L360" s="3">
        <v>2</v>
      </c>
      <c r="M360" s="4">
        <v>25</v>
      </c>
      <c r="N360">
        <f>L360 * M360</f>
        <v>50</v>
      </c>
      <c r="O360" s="15">
        <f>N360 *$R$3</f>
        <v>0.75</v>
      </c>
    </row>
    <row r="361" spans="1:15" ht="15.75">
      <c r="A361" s="3">
        <v>250</v>
      </c>
      <c r="B361">
        <f>DAY(F361)</f>
        <v>23</v>
      </c>
      <c r="C361" t="str">
        <f>TEXT(F361, "mmmm")</f>
        <v>October</v>
      </c>
      <c r="D361" s="3">
        <f>MONTH(F361)</f>
        <v>10</v>
      </c>
      <c r="E361" s="3">
        <f>YEAR(F361)</f>
        <v>2023</v>
      </c>
      <c r="F361" s="2">
        <v>45222</v>
      </c>
      <c r="G361" s="3" t="s">
        <v>525</v>
      </c>
      <c r="H361" s="3" t="s">
        <v>18</v>
      </c>
      <c r="I361" s="3">
        <v>48</v>
      </c>
      <c r="J361" s="3"/>
      <c r="K361" s="3" t="s">
        <v>196</v>
      </c>
      <c r="L361" s="3">
        <v>1</v>
      </c>
      <c r="M361" s="4">
        <v>50</v>
      </c>
      <c r="N361">
        <f>L361 * M361</f>
        <v>50</v>
      </c>
      <c r="O361" s="15">
        <f>N361 *$R$3</f>
        <v>0.75</v>
      </c>
    </row>
    <row r="362" spans="1:15" ht="15.75">
      <c r="A362" s="3">
        <v>255</v>
      </c>
      <c r="B362">
        <f>DAY(F362)</f>
        <v>8</v>
      </c>
      <c r="C362" t="str">
        <f>TEXT(F362, "mmmm")</f>
        <v>April</v>
      </c>
      <c r="D362" s="3">
        <f>MONTH(F362)</f>
        <v>4</v>
      </c>
      <c r="E362" s="3">
        <f>YEAR(F362)</f>
        <v>2023</v>
      </c>
      <c r="F362" s="2">
        <v>45024</v>
      </c>
      <c r="G362" s="3" t="s">
        <v>526</v>
      </c>
      <c r="H362" s="3" t="s">
        <v>18</v>
      </c>
      <c r="I362" s="3">
        <v>48</v>
      </c>
      <c r="J362" s="3"/>
      <c r="K362" s="3" t="s">
        <v>195</v>
      </c>
      <c r="L362" s="3">
        <v>1</v>
      </c>
      <c r="M362" s="4">
        <v>30</v>
      </c>
      <c r="N362">
        <f>L362 * M362</f>
        <v>30</v>
      </c>
      <c r="O362" s="15">
        <f>N362 *$R$3</f>
        <v>0.44999999999999996</v>
      </c>
    </row>
    <row r="363" spans="1:15" ht="15.75">
      <c r="A363" s="3">
        <v>316</v>
      </c>
      <c r="B363">
        <f>DAY(F363)</f>
        <v>22</v>
      </c>
      <c r="C363" t="str">
        <f>TEXT(F363, "mmmm")</f>
        <v>April</v>
      </c>
      <c r="D363" s="3">
        <f>MONTH(F363)</f>
        <v>4</v>
      </c>
      <c r="E363" s="3">
        <f>YEAR(F363)</f>
        <v>2023</v>
      </c>
      <c r="F363" s="2">
        <v>45038</v>
      </c>
      <c r="G363" s="3" t="s">
        <v>527</v>
      </c>
      <c r="H363" s="3" t="s">
        <v>198</v>
      </c>
      <c r="I363" s="3">
        <v>48</v>
      </c>
      <c r="J363" s="3"/>
      <c r="K363" s="3" t="s">
        <v>195</v>
      </c>
      <c r="L363" s="3">
        <v>2</v>
      </c>
      <c r="M363" s="4">
        <v>25</v>
      </c>
      <c r="N363">
        <f>L363 * M363</f>
        <v>50</v>
      </c>
      <c r="O363" s="15">
        <f>N363 *$R$3</f>
        <v>0.75</v>
      </c>
    </row>
    <row r="364" spans="1:15" ht="15.75">
      <c r="A364" s="3">
        <v>398</v>
      </c>
      <c r="B364">
        <f>DAY(F364)</f>
        <v>16</v>
      </c>
      <c r="C364" t="str">
        <f>TEXT(F364, "mmmm")</f>
        <v>May</v>
      </c>
      <c r="D364" s="3">
        <f>MONTH(F364)</f>
        <v>5</v>
      </c>
      <c r="E364" s="3">
        <f>YEAR(F364)</f>
        <v>2023</v>
      </c>
      <c r="F364" s="2">
        <v>45062</v>
      </c>
      <c r="G364" s="3" t="s">
        <v>528</v>
      </c>
      <c r="H364" s="3" t="s">
        <v>198</v>
      </c>
      <c r="I364" s="3">
        <v>48</v>
      </c>
      <c r="J364" s="3"/>
      <c r="K364" s="3" t="s">
        <v>195</v>
      </c>
      <c r="L364" s="3">
        <v>2</v>
      </c>
      <c r="M364" s="4">
        <v>300</v>
      </c>
      <c r="N364">
        <f>L364 * M364</f>
        <v>600</v>
      </c>
      <c r="O364" s="15">
        <f>N364 *$R$3</f>
        <v>9</v>
      </c>
    </row>
    <row r="365" spans="1:15" ht="15.75">
      <c r="A365" s="3">
        <v>414</v>
      </c>
      <c r="B365">
        <f>DAY(F365)</f>
        <v>9</v>
      </c>
      <c r="C365" t="str">
        <f>TEXT(F365, "mmmm")</f>
        <v>May</v>
      </c>
      <c r="D365" s="3">
        <f>MONTH(F365)</f>
        <v>5</v>
      </c>
      <c r="E365" s="3">
        <f>YEAR(F365)</f>
        <v>2023</v>
      </c>
      <c r="F365" s="2">
        <v>45055</v>
      </c>
      <c r="G365" s="3" t="s">
        <v>90</v>
      </c>
      <c r="H365" s="3" t="s">
        <v>18</v>
      </c>
      <c r="I365" s="3">
        <v>48</v>
      </c>
      <c r="J365" s="3"/>
      <c r="K365" s="3" t="s">
        <v>19</v>
      </c>
      <c r="L365" s="3">
        <v>4</v>
      </c>
      <c r="M365" s="4">
        <v>25</v>
      </c>
      <c r="N365">
        <f>L365 * M365</f>
        <v>100</v>
      </c>
      <c r="O365" s="15">
        <f>N365 *$R$3</f>
        <v>1.5</v>
      </c>
    </row>
    <row r="366" spans="1:15" ht="15.75">
      <c r="A366" s="3">
        <v>452</v>
      </c>
      <c r="B366">
        <f>DAY(F366)</f>
        <v>8</v>
      </c>
      <c r="C366" t="str">
        <f>TEXT(F366, "mmmm")</f>
        <v>May</v>
      </c>
      <c r="D366" s="3">
        <f>MONTH(F366)</f>
        <v>5</v>
      </c>
      <c r="E366" s="3">
        <f>YEAR(F366)</f>
        <v>2023</v>
      </c>
      <c r="F366" s="2">
        <v>45054</v>
      </c>
      <c r="G366" s="3" t="s">
        <v>529</v>
      </c>
      <c r="H366" s="3" t="s">
        <v>198</v>
      </c>
      <c r="I366" s="3">
        <v>48</v>
      </c>
      <c r="J366" s="3"/>
      <c r="K366" s="3" t="s">
        <v>195</v>
      </c>
      <c r="L366" s="3">
        <v>3</v>
      </c>
      <c r="M366" s="4">
        <v>500</v>
      </c>
      <c r="N366">
        <f>L366 * M366</f>
        <v>1500</v>
      </c>
      <c r="O366" s="15">
        <f>N366 *$R$3</f>
        <v>22.5</v>
      </c>
    </row>
    <row r="367" spans="1:15" ht="15.75">
      <c r="A367" s="3">
        <v>581</v>
      </c>
      <c r="B367">
        <f>DAY(F367)</f>
        <v>21</v>
      </c>
      <c r="C367" t="str">
        <f>TEXT(F367, "mmmm")</f>
        <v>November</v>
      </c>
      <c r="D367" s="3">
        <f>MONTH(F367)</f>
        <v>11</v>
      </c>
      <c r="E367" s="3">
        <f>YEAR(F367)</f>
        <v>2023</v>
      </c>
      <c r="F367" s="2">
        <v>45251</v>
      </c>
      <c r="G367" s="3" t="s">
        <v>530</v>
      </c>
      <c r="H367" s="3" t="s">
        <v>198</v>
      </c>
      <c r="I367" s="3">
        <v>48</v>
      </c>
      <c r="J367" s="3"/>
      <c r="K367" s="3" t="s">
        <v>19</v>
      </c>
      <c r="L367" s="3">
        <v>2</v>
      </c>
      <c r="M367" s="4">
        <v>30</v>
      </c>
      <c r="N367">
        <f>L367 * M367</f>
        <v>60</v>
      </c>
      <c r="O367" s="15">
        <f>N367 *$R$3</f>
        <v>0.89999999999999991</v>
      </c>
    </row>
    <row r="368" spans="1:15" ht="15.75">
      <c r="A368" s="3">
        <v>662</v>
      </c>
      <c r="B368">
        <f>DAY(F368)</f>
        <v>22</v>
      </c>
      <c r="C368" t="str">
        <f>TEXT(F368, "mmmm")</f>
        <v>December</v>
      </c>
      <c r="D368" s="3">
        <f>MONTH(F368)</f>
        <v>12</v>
      </c>
      <c r="E368" s="3">
        <f>YEAR(F368)</f>
        <v>2023</v>
      </c>
      <c r="F368" s="2">
        <v>45282</v>
      </c>
      <c r="G368" s="3" t="s">
        <v>140</v>
      </c>
      <c r="H368" s="3" t="s">
        <v>18</v>
      </c>
      <c r="I368" s="3">
        <v>48</v>
      </c>
      <c r="J368" s="3"/>
      <c r="K368" s="3" t="s">
        <v>19</v>
      </c>
      <c r="L368" s="3">
        <v>2</v>
      </c>
      <c r="M368" s="4">
        <v>500</v>
      </c>
      <c r="N368">
        <f>L368 * M368</f>
        <v>1000</v>
      </c>
      <c r="O368" s="15">
        <f>N368 *$R$3</f>
        <v>15</v>
      </c>
    </row>
    <row r="369" spans="1:15" ht="15.75">
      <c r="A369" s="3">
        <v>741</v>
      </c>
      <c r="B369">
        <f>DAY(F369)</f>
        <v>30</v>
      </c>
      <c r="C369" t="str">
        <f>TEXT(F369, "mmmm")</f>
        <v>November</v>
      </c>
      <c r="D369" s="3">
        <f>MONTH(F369)</f>
        <v>11</v>
      </c>
      <c r="E369" s="3">
        <f>YEAR(F369)</f>
        <v>2023</v>
      </c>
      <c r="F369" s="2">
        <v>45260</v>
      </c>
      <c r="G369" s="3" t="s">
        <v>531</v>
      </c>
      <c r="H369" s="3" t="s">
        <v>18</v>
      </c>
      <c r="I369" s="3">
        <v>48</v>
      </c>
      <c r="J369" s="3"/>
      <c r="K369" s="3" t="s">
        <v>195</v>
      </c>
      <c r="L369" s="3">
        <v>1</v>
      </c>
      <c r="M369" s="4">
        <v>300</v>
      </c>
      <c r="N369">
        <f>L369 * M369</f>
        <v>300</v>
      </c>
      <c r="O369" s="15">
        <f>N369 *$R$3</f>
        <v>4.5</v>
      </c>
    </row>
    <row r="370" spans="1:15" ht="15.75">
      <c r="A370" s="3">
        <v>777</v>
      </c>
      <c r="B370">
        <f>DAY(F370)</f>
        <v>20</v>
      </c>
      <c r="C370" t="str">
        <f>TEXT(F370, "mmmm")</f>
        <v>December</v>
      </c>
      <c r="D370" s="3">
        <f>MONTH(F370)</f>
        <v>12</v>
      </c>
      <c r="E370" s="3">
        <f>YEAR(F370)</f>
        <v>2023</v>
      </c>
      <c r="F370" s="2">
        <v>45280</v>
      </c>
      <c r="G370" s="3" t="s">
        <v>532</v>
      </c>
      <c r="H370" s="3" t="s">
        <v>18</v>
      </c>
      <c r="I370" s="3">
        <v>48</v>
      </c>
      <c r="J370" s="3"/>
      <c r="K370" s="3" t="s">
        <v>196</v>
      </c>
      <c r="L370" s="3">
        <v>3</v>
      </c>
      <c r="M370" s="4">
        <v>50</v>
      </c>
      <c r="N370">
        <f>L370 * M370</f>
        <v>150</v>
      </c>
      <c r="O370" s="15">
        <f>N370 *$R$3</f>
        <v>2.25</v>
      </c>
    </row>
    <row r="371" spans="1:15" ht="15.75">
      <c r="A371" s="3">
        <v>786</v>
      </c>
      <c r="B371">
        <f>DAY(F371)</f>
        <v>17</v>
      </c>
      <c r="C371" t="str">
        <f>TEXT(F371, "mmmm")</f>
        <v>October</v>
      </c>
      <c r="D371" s="3">
        <f>MONTH(F371)</f>
        <v>10</v>
      </c>
      <c r="E371" s="3">
        <f>YEAR(F371)</f>
        <v>2023</v>
      </c>
      <c r="F371" s="2">
        <v>45216</v>
      </c>
      <c r="G371" s="3" t="s">
        <v>533</v>
      </c>
      <c r="H371" s="3" t="s">
        <v>18</v>
      </c>
      <c r="I371" s="3">
        <v>48</v>
      </c>
      <c r="J371" s="3"/>
      <c r="K371" s="3" t="s">
        <v>195</v>
      </c>
      <c r="L371" s="3">
        <v>4</v>
      </c>
      <c r="M371" s="4">
        <v>25</v>
      </c>
      <c r="N371">
        <f>L371 * M371</f>
        <v>100</v>
      </c>
      <c r="O371" s="15">
        <f>N371 *$R$3</f>
        <v>1.5</v>
      </c>
    </row>
    <row r="372" spans="1:15" ht="15.75">
      <c r="A372" s="3">
        <v>968</v>
      </c>
      <c r="B372">
        <f>DAY(F372)</f>
        <v>17</v>
      </c>
      <c r="C372" t="str">
        <f>TEXT(F372, "mmmm")</f>
        <v>November</v>
      </c>
      <c r="D372" s="3">
        <f>MONTH(F372)</f>
        <v>11</v>
      </c>
      <c r="E372" s="3">
        <f>YEAR(F372)</f>
        <v>2023</v>
      </c>
      <c r="F372" s="2">
        <v>45247</v>
      </c>
      <c r="G372" s="3" t="s">
        <v>534</v>
      </c>
      <c r="H372" s="3" t="s">
        <v>198</v>
      </c>
      <c r="I372" s="3">
        <v>48</v>
      </c>
      <c r="J372" s="3"/>
      <c r="K372" s="3" t="s">
        <v>195</v>
      </c>
      <c r="L372" s="3">
        <v>3</v>
      </c>
      <c r="M372" s="4">
        <v>300</v>
      </c>
      <c r="N372">
        <f>L372 * M372</f>
        <v>900</v>
      </c>
      <c r="O372" s="15">
        <f>N372 *$R$3</f>
        <v>13.5</v>
      </c>
    </row>
    <row r="373" spans="1:15" ht="15.75">
      <c r="A373" s="3">
        <v>976</v>
      </c>
      <c r="B373">
        <f>DAY(F373)</f>
        <v>10</v>
      </c>
      <c r="C373" t="str">
        <f>TEXT(F373, "mmmm")</f>
        <v>October</v>
      </c>
      <c r="D373" s="3">
        <f>MONTH(F373)</f>
        <v>10</v>
      </c>
      <c r="E373" s="3">
        <f>YEAR(F373)</f>
        <v>2023</v>
      </c>
      <c r="F373" s="2">
        <v>45209</v>
      </c>
      <c r="G373" s="3" t="s">
        <v>535</v>
      </c>
      <c r="H373" s="3" t="s">
        <v>198</v>
      </c>
      <c r="I373" s="3">
        <v>48</v>
      </c>
      <c r="J373" s="3"/>
      <c r="K373" s="3" t="s">
        <v>19</v>
      </c>
      <c r="L373" s="3">
        <v>2</v>
      </c>
      <c r="M373" s="4">
        <v>300</v>
      </c>
      <c r="N373">
        <f>L373 * M373</f>
        <v>600</v>
      </c>
      <c r="O373" s="15">
        <f>N373 *$R$3</f>
        <v>9</v>
      </c>
    </row>
    <row r="374" spans="1:15" ht="15.75">
      <c r="A374" s="3">
        <v>993</v>
      </c>
      <c r="B374">
        <f>DAY(F374)</f>
        <v>6</v>
      </c>
      <c r="C374" t="str">
        <f>TEXT(F374, "mmmm")</f>
        <v>February</v>
      </c>
      <c r="D374" s="3">
        <f>MONTH(F374)</f>
        <v>2</v>
      </c>
      <c r="E374" s="3">
        <f>YEAR(F374)</f>
        <v>2023</v>
      </c>
      <c r="F374" s="2">
        <v>44963</v>
      </c>
      <c r="G374" s="3" t="s">
        <v>536</v>
      </c>
      <c r="H374" s="3" t="s">
        <v>198</v>
      </c>
      <c r="I374" s="3">
        <v>48</v>
      </c>
      <c r="J374" s="3"/>
      <c r="K374" s="3" t="s">
        <v>196</v>
      </c>
      <c r="L374" s="3">
        <v>3</v>
      </c>
      <c r="M374" s="4">
        <v>50</v>
      </c>
      <c r="N374">
        <f>L374 * M374</f>
        <v>150</v>
      </c>
      <c r="O374" s="15">
        <f>N374 *$R$3</f>
        <v>2.25</v>
      </c>
    </row>
    <row r="375" spans="1:15" ht="15.75">
      <c r="A375" s="3">
        <v>18</v>
      </c>
      <c r="B375">
        <f>DAY(F375)</f>
        <v>30</v>
      </c>
      <c r="C375" t="str">
        <f>TEXT(F375, "mmmm")</f>
        <v>April</v>
      </c>
      <c r="D375" s="3">
        <f>MONTH(F375)</f>
        <v>4</v>
      </c>
      <c r="E375" s="3">
        <f>YEAR(F375)</f>
        <v>2023</v>
      </c>
      <c r="F375" s="2">
        <v>45046</v>
      </c>
      <c r="G375" s="3" t="s">
        <v>537</v>
      </c>
      <c r="H375" s="3" t="s">
        <v>198</v>
      </c>
      <c r="I375" s="3">
        <v>47</v>
      </c>
      <c r="J375" s="3"/>
      <c r="K375" s="3" t="s">
        <v>196</v>
      </c>
      <c r="L375" s="3">
        <v>2</v>
      </c>
      <c r="M375" s="4">
        <v>25</v>
      </c>
      <c r="N375">
        <f>L375 * M375</f>
        <v>50</v>
      </c>
      <c r="O375" s="15">
        <f>N375 *$R$3</f>
        <v>0.75</v>
      </c>
    </row>
    <row r="376" spans="1:15" ht="15.75">
      <c r="A376" s="3">
        <v>77</v>
      </c>
      <c r="B376">
        <f>DAY(F376)</f>
        <v>9</v>
      </c>
      <c r="C376" t="str">
        <f>TEXT(F376, "mmmm")</f>
        <v>July</v>
      </c>
      <c r="D376" s="3">
        <f>MONTH(F376)</f>
        <v>7</v>
      </c>
      <c r="E376" s="3">
        <f>YEAR(F376)</f>
        <v>2023</v>
      </c>
      <c r="F376" s="2">
        <v>45116</v>
      </c>
      <c r="G376" s="3" t="s">
        <v>538</v>
      </c>
      <c r="H376" s="3" t="s">
        <v>198</v>
      </c>
      <c r="I376" s="3">
        <v>47</v>
      </c>
      <c r="J376" s="3"/>
      <c r="K376" s="3" t="s">
        <v>195</v>
      </c>
      <c r="L376" s="3">
        <v>2</v>
      </c>
      <c r="M376" s="4">
        <v>50</v>
      </c>
      <c r="N376">
        <f>L376 * M376</f>
        <v>100</v>
      </c>
      <c r="O376" s="15">
        <f>N376 *$R$3</f>
        <v>1.5</v>
      </c>
    </row>
    <row r="377" spans="1:15" ht="15.75">
      <c r="A377" s="3">
        <v>78</v>
      </c>
      <c r="B377">
        <f>DAY(F377)</f>
        <v>1</v>
      </c>
      <c r="C377" t="str">
        <f>TEXT(F377, "mmmm")</f>
        <v>July</v>
      </c>
      <c r="D377" s="3">
        <f>MONTH(F377)</f>
        <v>7</v>
      </c>
      <c r="E377" s="3">
        <f>YEAR(F377)</f>
        <v>2023</v>
      </c>
      <c r="F377" s="2">
        <v>45108</v>
      </c>
      <c r="G377" s="3" t="s">
        <v>539</v>
      </c>
      <c r="H377" s="3" t="s">
        <v>198</v>
      </c>
      <c r="I377" s="3">
        <v>47</v>
      </c>
      <c r="J377" s="3"/>
      <c r="K377" s="3" t="s">
        <v>195</v>
      </c>
      <c r="L377" s="3">
        <v>3</v>
      </c>
      <c r="M377" s="4">
        <v>500</v>
      </c>
      <c r="N377">
        <f>L377 * M377</f>
        <v>1500</v>
      </c>
      <c r="O377" s="15">
        <f>N377 *$R$3</f>
        <v>22.5</v>
      </c>
    </row>
    <row r="378" spans="1:15" ht="15.75">
      <c r="A378" s="3">
        <v>94</v>
      </c>
      <c r="B378">
        <f>DAY(F378)</f>
        <v>19</v>
      </c>
      <c r="C378" t="str">
        <f>TEXT(F378, "mmmm")</f>
        <v>May</v>
      </c>
      <c r="D378" s="3">
        <f>MONTH(F378)</f>
        <v>5</v>
      </c>
      <c r="E378" s="3">
        <f>YEAR(F378)</f>
        <v>2023</v>
      </c>
      <c r="F378" s="2">
        <v>45065</v>
      </c>
      <c r="G378" s="3" t="s">
        <v>540</v>
      </c>
      <c r="H378" s="3" t="s">
        <v>198</v>
      </c>
      <c r="I378" s="3">
        <v>47</v>
      </c>
      <c r="J378" s="3"/>
      <c r="K378" s="3" t="s">
        <v>19</v>
      </c>
      <c r="L378" s="3">
        <v>2</v>
      </c>
      <c r="M378" s="4">
        <v>500</v>
      </c>
      <c r="N378">
        <f>L378 * M378</f>
        <v>1000</v>
      </c>
      <c r="O378" s="15">
        <f>N378 *$R$3</f>
        <v>15</v>
      </c>
    </row>
    <row r="379" spans="1:15" ht="15.75">
      <c r="A379" s="3">
        <v>102</v>
      </c>
      <c r="B379">
        <f>DAY(F379)</f>
        <v>28</v>
      </c>
      <c r="C379" t="str">
        <f>TEXT(F379, "mmmm")</f>
        <v>April</v>
      </c>
      <c r="D379" s="3">
        <f>MONTH(F379)</f>
        <v>4</v>
      </c>
      <c r="E379" s="3">
        <f>YEAR(F379)</f>
        <v>2023</v>
      </c>
      <c r="F379" s="2">
        <v>45044</v>
      </c>
      <c r="G379" s="3" t="s">
        <v>541</v>
      </c>
      <c r="H379" s="3" t="s">
        <v>198</v>
      </c>
      <c r="I379" s="3">
        <v>47</v>
      </c>
      <c r="J379" s="3"/>
      <c r="K379" s="3" t="s">
        <v>19</v>
      </c>
      <c r="L379" s="3">
        <v>2</v>
      </c>
      <c r="M379" s="4">
        <v>25</v>
      </c>
      <c r="N379">
        <f>L379 * M379</f>
        <v>50</v>
      </c>
      <c r="O379" s="15">
        <f>N379 *$R$3</f>
        <v>0.75</v>
      </c>
    </row>
    <row r="380" spans="1:15" ht="15.75">
      <c r="A380" s="3">
        <v>164</v>
      </c>
      <c r="B380">
        <f>DAY(F380)</f>
        <v>15</v>
      </c>
      <c r="C380" t="str">
        <f>TEXT(F380, "mmmm")</f>
        <v>May</v>
      </c>
      <c r="D380" s="3">
        <f>MONTH(F380)</f>
        <v>5</v>
      </c>
      <c r="E380" s="3">
        <f>YEAR(F380)</f>
        <v>2023</v>
      </c>
      <c r="F380" s="2">
        <v>45061</v>
      </c>
      <c r="G380" s="3" t="s">
        <v>542</v>
      </c>
      <c r="H380" s="3" t="s">
        <v>198</v>
      </c>
      <c r="I380" s="3">
        <v>47</v>
      </c>
      <c r="J380" s="3"/>
      <c r="K380" s="3" t="s">
        <v>19</v>
      </c>
      <c r="L380" s="3">
        <v>3</v>
      </c>
      <c r="M380" s="4">
        <v>500</v>
      </c>
      <c r="N380">
        <f>L380 * M380</f>
        <v>1500</v>
      </c>
      <c r="O380" s="15">
        <f>N380 *$R$3</f>
        <v>22.5</v>
      </c>
    </row>
    <row r="381" spans="1:15" ht="15.75">
      <c r="A381" s="3">
        <v>243</v>
      </c>
      <c r="B381">
        <f>DAY(F381)</f>
        <v>23</v>
      </c>
      <c r="C381" t="str">
        <f>TEXT(F381, "mmmm")</f>
        <v>May</v>
      </c>
      <c r="D381" s="3">
        <f>MONTH(F381)</f>
        <v>5</v>
      </c>
      <c r="E381" s="3">
        <f>YEAR(F381)</f>
        <v>2023</v>
      </c>
      <c r="F381" s="2">
        <v>45069</v>
      </c>
      <c r="G381" s="3" t="s">
        <v>543</v>
      </c>
      <c r="H381" s="3" t="s">
        <v>198</v>
      </c>
      <c r="I381" s="3">
        <v>47</v>
      </c>
      <c r="J381" s="3"/>
      <c r="K381" s="3" t="s">
        <v>196</v>
      </c>
      <c r="L381" s="3">
        <v>3</v>
      </c>
      <c r="M381" s="4">
        <v>300</v>
      </c>
      <c r="N381">
        <f>L381 * M381</f>
        <v>900</v>
      </c>
      <c r="O381" s="15">
        <f>N381 *$R$3</f>
        <v>13.5</v>
      </c>
    </row>
    <row r="382" spans="1:15" ht="15.75">
      <c r="A382" s="3">
        <v>245</v>
      </c>
      <c r="B382">
        <f>DAY(F382)</f>
        <v>6</v>
      </c>
      <c r="C382" t="str">
        <f>TEXT(F382, "mmmm")</f>
        <v>September</v>
      </c>
      <c r="D382" s="3">
        <f>MONTH(F382)</f>
        <v>9</v>
      </c>
      <c r="E382" s="3">
        <f>YEAR(F382)</f>
        <v>2023</v>
      </c>
      <c r="F382" s="2">
        <v>45175</v>
      </c>
      <c r="G382" s="3" t="s">
        <v>544</v>
      </c>
      <c r="H382" s="3" t="s">
        <v>18</v>
      </c>
      <c r="I382" s="3">
        <v>47</v>
      </c>
      <c r="J382" s="3"/>
      <c r="K382" s="3" t="s">
        <v>195</v>
      </c>
      <c r="L382" s="3">
        <v>3</v>
      </c>
      <c r="M382" s="4">
        <v>30</v>
      </c>
      <c r="N382">
        <f>L382 * M382</f>
        <v>90</v>
      </c>
      <c r="O382" s="15">
        <f>N382 *$R$3</f>
        <v>1.3499999999999999</v>
      </c>
    </row>
    <row r="383" spans="1:15" ht="15.75">
      <c r="A383" s="3">
        <v>264</v>
      </c>
      <c r="B383">
        <f>DAY(F383)</f>
        <v>28</v>
      </c>
      <c r="C383" t="str">
        <f>TEXT(F383, "mmmm")</f>
        <v>January</v>
      </c>
      <c r="D383" s="3">
        <f>MONTH(F383)</f>
        <v>1</v>
      </c>
      <c r="E383" s="3">
        <f>YEAR(F383)</f>
        <v>2023</v>
      </c>
      <c r="F383" s="2">
        <v>44954</v>
      </c>
      <c r="G383" s="3" t="s">
        <v>545</v>
      </c>
      <c r="H383" s="3" t="s">
        <v>18</v>
      </c>
      <c r="I383" s="3">
        <v>47</v>
      </c>
      <c r="J383" s="3"/>
      <c r="K383" s="3" t="s">
        <v>195</v>
      </c>
      <c r="L383" s="3">
        <v>3</v>
      </c>
      <c r="M383" s="4">
        <v>300</v>
      </c>
      <c r="N383">
        <f>L383 * M383</f>
        <v>900</v>
      </c>
      <c r="O383" s="15">
        <f>N383 *$R$3</f>
        <v>13.5</v>
      </c>
    </row>
    <row r="384" spans="1:15" ht="15.75">
      <c r="A384" s="3">
        <v>315</v>
      </c>
      <c r="B384">
        <f>DAY(F384)</f>
        <v>1</v>
      </c>
      <c r="C384" t="str">
        <f>TEXT(F384, "mmmm")</f>
        <v>June</v>
      </c>
      <c r="D384" s="3">
        <f>MONTH(F384)</f>
        <v>6</v>
      </c>
      <c r="E384" s="3">
        <f>YEAR(F384)</f>
        <v>2023</v>
      </c>
      <c r="F384" s="2">
        <v>45078</v>
      </c>
      <c r="G384" s="3" t="s">
        <v>546</v>
      </c>
      <c r="H384" s="3" t="s">
        <v>18</v>
      </c>
      <c r="I384" s="3">
        <v>47</v>
      </c>
      <c r="J384" s="3"/>
      <c r="K384" s="3" t="s">
        <v>195</v>
      </c>
      <c r="L384" s="3">
        <v>2</v>
      </c>
      <c r="M384" s="4">
        <v>30</v>
      </c>
      <c r="N384">
        <f>L384 * M384</f>
        <v>60</v>
      </c>
      <c r="O384" s="15">
        <f>N384 *$R$3</f>
        <v>0.89999999999999991</v>
      </c>
    </row>
    <row r="385" spans="1:15" ht="15.75">
      <c r="A385" s="3">
        <v>335</v>
      </c>
      <c r="B385">
        <f>DAY(F385)</f>
        <v>4</v>
      </c>
      <c r="C385" t="str">
        <f>TEXT(F385, "mmmm")</f>
        <v>February</v>
      </c>
      <c r="D385" s="3">
        <f>MONTH(F385)</f>
        <v>2</v>
      </c>
      <c r="E385" s="3">
        <f>YEAR(F385)</f>
        <v>2023</v>
      </c>
      <c r="F385" s="2">
        <v>44961</v>
      </c>
      <c r="G385" s="3" t="s">
        <v>547</v>
      </c>
      <c r="H385" s="3" t="s">
        <v>198</v>
      </c>
      <c r="I385" s="3">
        <v>47</v>
      </c>
      <c r="J385" s="3"/>
      <c r="K385" s="3" t="s">
        <v>19</v>
      </c>
      <c r="L385" s="3">
        <v>4</v>
      </c>
      <c r="M385" s="4">
        <v>30</v>
      </c>
      <c r="N385">
        <f>L385 * M385</f>
        <v>120</v>
      </c>
      <c r="O385" s="15">
        <f>N385 *$R$3</f>
        <v>1.7999999999999998</v>
      </c>
    </row>
    <row r="386" spans="1:15" ht="15.75">
      <c r="A386" s="3">
        <v>379</v>
      </c>
      <c r="B386">
        <f>DAY(F386)</f>
        <v>5</v>
      </c>
      <c r="C386" t="str">
        <f>TEXT(F386, "mmmm")</f>
        <v>February</v>
      </c>
      <c r="D386" s="3">
        <f>MONTH(F386)</f>
        <v>2</v>
      </c>
      <c r="E386" s="3">
        <f>YEAR(F386)</f>
        <v>2023</v>
      </c>
      <c r="F386" s="2">
        <v>44962</v>
      </c>
      <c r="G386" s="3" t="s">
        <v>548</v>
      </c>
      <c r="H386" s="3" t="s">
        <v>198</v>
      </c>
      <c r="I386" s="3">
        <v>47</v>
      </c>
      <c r="J386" s="3"/>
      <c r="K386" s="3" t="s">
        <v>195</v>
      </c>
      <c r="L386" s="3">
        <v>1</v>
      </c>
      <c r="M386" s="4">
        <v>25</v>
      </c>
      <c r="N386">
        <f>L386 * M386</f>
        <v>25</v>
      </c>
      <c r="O386" s="15">
        <f>N386 *$R$3</f>
        <v>0.375</v>
      </c>
    </row>
    <row r="387" spans="1:15" ht="15.75">
      <c r="A387" s="3">
        <v>517</v>
      </c>
      <c r="B387">
        <f>DAY(F387)</f>
        <v>8</v>
      </c>
      <c r="C387" t="str">
        <f>TEXT(F387, "mmmm")</f>
        <v>April</v>
      </c>
      <c r="D387" s="3">
        <f>MONTH(F387)</f>
        <v>4</v>
      </c>
      <c r="E387" s="3">
        <f>YEAR(F387)</f>
        <v>2023</v>
      </c>
      <c r="F387" s="2">
        <v>45024</v>
      </c>
      <c r="G387" s="3" t="s">
        <v>549</v>
      </c>
      <c r="H387" s="3" t="s">
        <v>198</v>
      </c>
      <c r="I387" s="3">
        <v>47</v>
      </c>
      <c r="J387" s="3"/>
      <c r="K387" s="3" t="s">
        <v>195</v>
      </c>
      <c r="L387" s="3">
        <v>4</v>
      </c>
      <c r="M387" s="4">
        <v>25</v>
      </c>
      <c r="N387">
        <f>L387 * M387</f>
        <v>100</v>
      </c>
      <c r="O387" s="15">
        <f>N387 *$R$3</f>
        <v>1.5</v>
      </c>
    </row>
    <row r="388" spans="1:15" ht="15.75">
      <c r="A388" s="3">
        <v>521</v>
      </c>
      <c r="B388">
        <f>DAY(F388)</f>
        <v>12</v>
      </c>
      <c r="C388" t="str">
        <f>TEXT(F388, "mmmm")</f>
        <v>August</v>
      </c>
      <c r="D388" s="3">
        <f>MONTH(F388)</f>
        <v>8</v>
      </c>
      <c r="E388" s="3">
        <f>YEAR(F388)</f>
        <v>2023</v>
      </c>
      <c r="F388" s="2">
        <v>45150</v>
      </c>
      <c r="G388" s="3" t="s">
        <v>550</v>
      </c>
      <c r="H388" s="3" t="s">
        <v>198</v>
      </c>
      <c r="I388" s="3">
        <v>47</v>
      </c>
      <c r="J388" s="3"/>
      <c r="K388" s="3" t="s">
        <v>195</v>
      </c>
      <c r="L388" s="3">
        <v>4</v>
      </c>
      <c r="M388" s="4">
        <v>30</v>
      </c>
      <c r="N388">
        <f>L388 * M388</f>
        <v>120</v>
      </c>
      <c r="O388" s="15">
        <f>N388 *$R$3</f>
        <v>1.7999999999999998</v>
      </c>
    </row>
    <row r="389" spans="1:15" ht="15.75">
      <c r="A389" s="3">
        <v>525</v>
      </c>
      <c r="B389">
        <f>DAY(F389)</f>
        <v>18</v>
      </c>
      <c r="C389" t="str">
        <f>TEXT(F389, "mmmm")</f>
        <v>December</v>
      </c>
      <c r="D389" s="3">
        <f>MONTH(F389)</f>
        <v>12</v>
      </c>
      <c r="E389" s="3">
        <f>YEAR(F389)</f>
        <v>2023</v>
      </c>
      <c r="F389" s="2">
        <v>45278</v>
      </c>
      <c r="G389" s="3" t="s">
        <v>551</v>
      </c>
      <c r="H389" s="3" t="s">
        <v>198</v>
      </c>
      <c r="I389" s="3">
        <v>47</v>
      </c>
      <c r="J389" s="3"/>
      <c r="K389" s="3" t="s">
        <v>19</v>
      </c>
      <c r="L389" s="3">
        <v>2</v>
      </c>
      <c r="M389" s="4">
        <v>25</v>
      </c>
      <c r="N389">
        <f>L389 * M389</f>
        <v>50</v>
      </c>
      <c r="O389" s="15">
        <f>N389 *$R$3</f>
        <v>0.75</v>
      </c>
    </row>
    <row r="390" spans="1:15" ht="15.75">
      <c r="A390" s="3">
        <v>535</v>
      </c>
      <c r="B390">
        <f>DAY(F390)</f>
        <v>6</v>
      </c>
      <c r="C390" t="str">
        <f>TEXT(F390, "mmmm")</f>
        <v>December</v>
      </c>
      <c r="D390" s="3">
        <f>MONTH(F390)</f>
        <v>12</v>
      </c>
      <c r="E390" s="3">
        <f>YEAR(F390)</f>
        <v>2023</v>
      </c>
      <c r="F390" s="2">
        <v>45266</v>
      </c>
      <c r="G390" s="3" t="s">
        <v>77</v>
      </c>
      <c r="H390" s="3" t="s">
        <v>18</v>
      </c>
      <c r="I390" s="3">
        <v>47</v>
      </c>
      <c r="J390" s="3"/>
      <c r="K390" s="3" t="s">
        <v>19</v>
      </c>
      <c r="L390" s="3">
        <v>3</v>
      </c>
      <c r="M390" s="4">
        <v>30</v>
      </c>
      <c r="N390">
        <f>L390 * M390</f>
        <v>90</v>
      </c>
      <c r="O390" s="15">
        <f>N390 *$R$3</f>
        <v>1.3499999999999999</v>
      </c>
    </row>
    <row r="391" spans="1:15" ht="15.75">
      <c r="A391" s="3">
        <v>609</v>
      </c>
      <c r="B391">
        <f>DAY(F391)</f>
        <v>19</v>
      </c>
      <c r="C391" t="str">
        <f>TEXT(F391, "mmmm")</f>
        <v>December</v>
      </c>
      <c r="D391" s="3">
        <f>MONTH(F391)</f>
        <v>12</v>
      </c>
      <c r="E391" s="3">
        <f>YEAR(F391)</f>
        <v>2023</v>
      </c>
      <c r="F391" s="2">
        <v>45279</v>
      </c>
      <c r="G391" s="3" t="s">
        <v>552</v>
      </c>
      <c r="H391" s="3" t="s">
        <v>198</v>
      </c>
      <c r="I391" s="3">
        <v>47</v>
      </c>
      <c r="J391" s="3"/>
      <c r="K391" s="3" t="s">
        <v>195</v>
      </c>
      <c r="L391" s="3">
        <v>2</v>
      </c>
      <c r="M391" s="4">
        <v>50</v>
      </c>
      <c r="N391">
        <f>L391 * M391</f>
        <v>100</v>
      </c>
      <c r="O391" s="15">
        <f>N391 *$R$3</f>
        <v>1.5</v>
      </c>
    </row>
    <row r="392" spans="1:15" ht="15.75">
      <c r="A392" s="3">
        <v>619</v>
      </c>
      <c r="B392">
        <f>DAY(F392)</f>
        <v>13</v>
      </c>
      <c r="C392" t="str">
        <f>TEXT(F392, "mmmm")</f>
        <v>October</v>
      </c>
      <c r="D392" s="3">
        <f>MONTH(F392)</f>
        <v>10</v>
      </c>
      <c r="E392" s="3">
        <f>YEAR(F392)</f>
        <v>2023</v>
      </c>
      <c r="F392" s="2">
        <v>45212</v>
      </c>
      <c r="G392" s="3" t="s">
        <v>553</v>
      </c>
      <c r="H392" s="3" t="s">
        <v>18</v>
      </c>
      <c r="I392" s="3">
        <v>47</v>
      </c>
      <c r="J392" s="3"/>
      <c r="K392" s="3" t="s">
        <v>196</v>
      </c>
      <c r="L392" s="3">
        <v>4</v>
      </c>
      <c r="M392" s="4">
        <v>25</v>
      </c>
      <c r="N392">
        <f>L392 * M392</f>
        <v>100</v>
      </c>
      <c r="O392" s="15">
        <f>N392 *$R$3</f>
        <v>1.5</v>
      </c>
    </row>
    <row r="393" spans="1:15" ht="15.75">
      <c r="A393" s="3">
        <v>726</v>
      </c>
      <c r="B393">
        <f>DAY(F393)</f>
        <v>17</v>
      </c>
      <c r="C393" t="str">
        <f>TEXT(F393, "mmmm")</f>
        <v>June</v>
      </c>
      <c r="D393" s="3">
        <f>MONTH(F393)</f>
        <v>6</v>
      </c>
      <c r="E393" s="3">
        <f>YEAR(F393)</f>
        <v>2023</v>
      </c>
      <c r="F393" s="2">
        <v>45094</v>
      </c>
      <c r="G393" s="3" t="s">
        <v>554</v>
      </c>
      <c r="H393" s="3" t="s">
        <v>18</v>
      </c>
      <c r="I393" s="3">
        <v>47</v>
      </c>
      <c r="J393" s="3"/>
      <c r="K393" s="3" t="s">
        <v>195</v>
      </c>
      <c r="L393" s="3">
        <v>4</v>
      </c>
      <c r="M393" s="4">
        <v>300</v>
      </c>
      <c r="N393">
        <f>L393 * M393</f>
        <v>1200</v>
      </c>
      <c r="O393" s="15">
        <f>N393 *$R$3</f>
        <v>18</v>
      </c>
    </row>
    <row r="394" spans="1:15" ht="15.75">
      <c r="A394" s="3">
        <v>778</v>
      </c>
      <c r="B394">
        <f>DAY(F394)</f>
        <v>18</v>
      </c>
      <c r="C394" t="str">
        <f>TEXT(F394, "mmmm")</f>
        <v>November</v>
      </c>
      <c r="D394" s="3">
        <f>MONTH(F394)</f>
        <v>11</v>
      </c>
      <c r="E394" s="3">
        <f>YEAR(F394)</f>
        <v>2023</v>
      </c>
      <c r="F394" s="2">
        <v>45248</v>
      </c>
      <c r="G394" s="3" t="s">
        <v>555</v>
      </c>
      <c r="H394" s="3" t="s">
        <v>198</v>
      </c>
      <c r="I394" s="3">
        <v>47</v>
      </c>
      <c r="J394" s="3"/>
      <c r="K394" s="3" t="s">
        <v>19</v>
      </c>
      <c r="L394" s="3">
        <v>4</v>
      </c>
      <c r="M394" s="4">
        <v>25</v>
      </c>
      <c r="N394">
        <f>L394 * M394</f>
        <v>100</v>
      </c>
      <c r="O394" s="15">
        <f>N394 *$R$3</f>
        <v>1.5</v>
      </c>
    </row>
    <row r="395" spans="1:15" ht="15.75">
      <c r="A395" s="3">
        <v>816</v>
      </c>
      <c r="B395">
        <f>DAY(F395)</f>
        <v>12</v>
      </c>
      <c r="C395" t="str">
        <f>TEXT(F395, "mmmm")</f>
        <v>August</v>
      </c>
      <c r="D395" s="3">
        <f>MONTH(F395)</f>
        <v>8</v>
      </c>
      <c r="E395" s="3">
        <f>YEAR(F395)</f>
        <v>2023</v>
      </c>
      <c r="F395" s="2">
        <v>45150</v>
      </c>
      <c r="G395" s="3" t="s">
        <v>138</v>
      </c>
      <c r="H395" s="3" t="s">
        <v>18</v>
      </c>
      <c r="I395" s="3">
        <v>47</v>
      </c>
      <c r="J395" s="3"/>
      <c r="K395" s="3" t="s">
        <v>19</v>
      </c>
      <c r="L395" s="3">
        <v>2</v>
      </c>
      <c r="M395" s="4">
        <v>500</v>
      </c>
      <c r="N395">
        <f>L395 * M395</f>
        <v>1000</v>
      </c>
      <c r="O395" s="15">
        <f>N395 *$R$3</f>
        <v>15</v>
      </c>
    </row>
    <row r="396" spans="1:15" ht="15.75">
      <c r="A396" s="3">
        <v>832</v>
      </c>
      <c r="B396">
        <f>DAY(F396)</f>
        <v>11</v>
      </c>
      <c r="C396" t="str">
        <f>TEXT(F396, "mmmm")</f>
        <v>September</v>
      </c>
      <c r="D396" s="3">
        <f>MONTH(F396)</f>
        <v>9</v>
      </c>
      <c r="E396" s="3">
        <f>YEAR(F396)</f>
        <v>2023</v>
      </c>
      <c r="F396" s="2">
        <v>45180</v>
      </c>
      <c r="G396" s="3" t="s">
        <v>164</v>
      </c>
      <c r="H396" s="3" t="s">
        <v>18</v>
      </c>
      <c r="I396" s="3">
        <v>47</v>
      </c>
      <c r="J396" s="3"/>
      <c r="K396" s="3" t="s">
        <v>19</v>
      </c>
      <c r="L396" s="3">
        <v>4</v>
      </c>
      <c r="M396" s="4">
        <v>500</v>
      </c>
      <c r="N396">
        <f>L396 * M396</f>
        <v>2000</v>
      </c>
      <c r="O396" s="15">
        <f>N396 *$R$3</f>
        <v>30</v>
      </c>
    </row>
    <row r="397" spans="1:15" ht="15.75">
      <c r="A397" s="3">
        <v>838</v>
      </c>
      <c r="B397">
        <f>DAY(F397)</f>
        <v>13</v>
      </c>
      <c r="C397" t="str">
        <f>TEXT(F397, "mmmm")</f>
        <v>May</v>
      </c>
      <c r="D397" s="3">
        <f>MONTH(F397)</f>
        <v>5</v>
      </c>
      <c r="E397" s="3">
        <f>YEAR(F397)</f>
        <v>2023</v>
      </c>
      <c r="F397" s="2">
        <v>45059</v>
      </c>
      <c r="G397" s="3" t="s">
        <v>556</v>
      </c>
      <c r="H397" s="3" t="s">
        <v>18</v>
      </c>
      <c r="I397" s="3">
        <v>47</v>
      </c>
      <c r="J397" s="3"/>
      <c r="K397" s="3" t="s">
        <v>196</v>
      </c>
      <c r="L397" s="3">
        <v>2</v>
      </c>
      <c r="M397" s="4">
        <v>300</v>
      </c>
      <c r="N397">
        <f>L397 * M397</f>
        <v>600</v>
      </c>
      <c r="O397" s="15">
        <f>N397 *$R$3</f>
        <v>9</v>
      </c>
    </row>
    <row r="398" spans="1:15" ht="15.75">
      <c r="A398" s="3">
        <v>842</v>
      </c>
      <c r="B398">
        <f>DAY(F398)</f>
        <v>26</v>
      </c>
      <c r="C398" t="str">
        <f>TEXT(F398, "mmmm")</f>
        <v>December</v>
      </c>
      <c r="D398" s="3">
        <f>MONTH(F398)</f>
        <v>12</v>
      </c>
      <c r="E398" s="3">
        <f>YEAR(F398)</f>
        <v>2023</v>
      </c>
      <c r="F398" s="2">
        <v>45286</v>
      </c>
      <c r="G398" s="3" t="s">
        <v>557</v>
      </c>
      <c r="H398" s="3" t="s">
        <v>198</v>
      </c>
      <c r="I398" s="3">
        <v>47</v>
      </c>
      <c r="J398" s="3"/>
      <c r="K398" s="3" t="s">
        <v>195</v>
      </c>
      <c r="L398" s="3">
        <v>2</v>
      </c>
      <c r="M398" s="4">
        <v>300</v>
      </c>
      <c r="N398">
        <f>L398 * M398</f>
        <v>600</v>
      </c>
      <c r="O398" s="15">
        <f>N398 *$R$3</f>
        <v>9</v>
      </c>
    </row>
    <row r="399" spans="1:15" ht="15.75">
      <c r="A399" s="3">
        <v>974</v>
      </c>
      <c r="B399">
        <f>DAY(F399)</f>
        <v>3</v>
      </c>
      <c r="C399" t="str">
        <f>TEXT(F399, "mmmm")</f>
        <v>May</v>
      </c>
      <c r="D399" s="3">
        <f>MONTH(F399)</f>
        <v>5</v>
      </c>
      <c r="E399" s="3">
        <f>YEAR(F399)</f>
        <v>2023</v>
      </c>
      <c r="F399" s="2">
        <v>45049</v>
      </c>
      <c r="G399" s="3" t="s">
        <v>33</v>
      </c>
      <c r="H399" s="3" t="s">
        <v>18</v>
      </c>
      <c r="I399" s="3">
        <v>47</v>
      </c>
      <c r="J399" s="3"/>
      <c r="K399" s="3" t="s">
        <v>19</v>
      </c>
      <c r="L399" s="3">
        <v>1</v>
      </c>
      <c r="M399" s="4">
        <v>30</v>
      </c>
      <c r="N399">
        <f>L399 * M399</f>
        <v>30</v>
      </c>
      <c r="O399" s="15">
        <f>N399 *$R$3</f>
        <v>0.44999999999999996</v>
      </c>
    </row>
    <row r="400" spans="1:15" ht="15.75">
      <c r="A400" s="3">
        <v>1000</v>
      </c>
      <c r="B400">
        <f>DAY(F400)</f>
        <v>12</v>
      </c>
      <c r="C400" t="str">
        <f>TEXT(F400, "mmmm")</f>
        <v>April</v>
      </c>
      <c r="D400" s="3">
        <f>MONTH(F400)</f>
        <v>4</v>
      </c>
      <c r="E400" s="3">
        <f>YEAR(F400)</f>
        <v>2023</v>
      </c>
      <c r="F400" s="2">
        <v>45028</v>
      </c>
      <c r="G400" s="3" t="s">
        <v>558</v>
      </c>
      <c r="H400" s="3" t="s">
        <v>18</v>
      </c>
      <c r="I400" s="3">
        <v>47</v>
      </c>
      <c r="J400" s="3"/>
      <c r="K400" s="3" t="s">
        <v>196</v>
      </c>
      <c r="L400" s="3">
        <v>4</v>
      </c>
      <c r="M400" s="4">
        <v>30</v>
      </c>
      <c r="N400">
        <f>L400 * M400</f>
        <v>120</v>
      </c>
      <c r="O400" s="15">
        <f>N400 *$R$3</f>
        <v>1.7999999999999998</v>
      </c>
    </row>
    <row r="401" spans="1:15" ht="15.75">
      <c r="A401" s="3">
        <v>7</v>
      </c>
      <c r="B401">
        <f>DAY(F401)</f>
        <v>13</v>
      </c>
      <c r="C401" t="str">
        <f>TEXT(F401, "mmmm")</f>
        <v>March</v>
      </c>
      <c r="D401" s="3">
        <f>MONTH(F401)</f>
        <v>3</v>
      </c>
      <c r="E401" s="3">
        <f>YEAR(F401)</f>
        <v>2023</v>
      </c>
      <c r="F401" s="2">
        <v>44998</v>
      </c>
      <c r="G401" s="3" t="s">
        <v>559</v>
      </c>
      <c r="H401" s="3" t="s">
        <v>18</v>
      </c>
      <c r="I401" s="3">
        <v>46</v>
      </c>
      <c r="J401" s="3"/>
      <c r="K401" s="3" t="s">
        <v>195</v>
      </c>
      <c r="L401" s="3">
        <v>2</v>
      </c>
      <c r="M401" s="4">
        <v>25</v>
      </c>
      <c r="N401">
        <f>L401 * M401</f>
        <v>50</v>
      </c>
      <c r="O401" s="15">
        <f>N401 *$R$3</f>
        <v>0.75</v>
      </c>
    </row>
    <row r="402" spans="1:15" ht="15.75">
      <c r="A402" s="3">
        <v>106</v>
      </c>
      <c r="B402">
        <f>DAY(F402)</f>
        <v>18</v>
      </c>
      <c r="C402" t="str">
        <f>TEXT(F402, "mmmm")</f>
        <v>May</v>
      </c>
      <c r="D402" s="3">
        <f>MONTH(F402)</f>
        <v>5</v>
      </c>
      <c r="E402" s="3">
        <f>YEAR(F402)</f>
        <v>2023</v>
      </c>
      <c r="F402" s="2">
        <v>45064</v>
      </c>
      <c r="G402" s="3" t="s">
        <v>560</v>
      </c>
      <c r="H402" s="3" t="s">
        <v>198</v>
      </c>
      <c r="I402" s="3">
        <v>46</v>
      </c>
      <c r="J402" s="3"/>
      <c r="K402" s="3" t="s">
        <v>195</v>
      </c>
      <c r="L402" s="3">
        <v>1</v>
      </c>
      <c r="M402" s="4">
        <v>50</v>
      </c>
      <c r="N402">
        <f>L402 * M402</f>
        <v>50</v>
      </c>
      <c r="O402" s="15">
        <f>N402 *$R$3</f>
        <v>0.75</v>
      </c>
    </row>
    <row r="403" spans="1:15" ht="15.75">
      <c r="A403" s="3">
        <v>137</v>
      </c>
      <c r="B403">
        <f>DAY(F403)</f>
        <v>18</v>
      </c>
      <c r="C403" t="str">
        <f>TEXT(F403, "mmmm")</f>
        <v>November</v>
      </c>
      <c r="D403" s="3">
        <f>MONTH(F403)</f>
        <v>11</v>
      </c>
      <c r="E403" s="3">
        <f>YEAR(F403)</f>
        <v>2023</v>
      </c>
      <c r="F403" s="2">
        <v>45248</v>
      </c>
      <c r="G403" s="3" t="s">
        <v>141</v>
      </c>
      <c r="H403" s="3" t="s">
        <v>18</v>
      </c>
      <c r="I403" s="3">
        <v>46</v>
      </c>
      <c r="J403" s="3"/>
      <c r="K403" s="3" t="s">
        <v>19</v>
      </c>
      <c r="L403" s="3">
        <v>2</v>
      </c>
      <c r="M403" s="4">
        <v>500</v>
      </c>
      <c r="N403">
        <f>L403 * M403</f>
        <v>1000</v>
      </c>
      <c r="O403" s="15">
        <f>N403 *$R$3</f>
        <v>15</v>
      </c>
    </row>
    <row r="404" spans="1:15" ht="15.75">
      <c r="A404" s="3">
        <v>329</v>
      </c>
      <c r="B404">
        <f>DAY(F404)</f>
        <v>30</v>
      </c>
      <c r="C404" t="str">
        <f>TEXT(F404, "mmmm")</f>
        <v>January</v>
      </c>
      <c r="D404" s="3">
        <f>MONTH(F404)</f>
        <v>1</v>
      </c>
      <c r="E404" s="3">
        <f>YEAR(F404)</f>
        <v>2023</v>
      </c>
      <c r="F404" s="2">
        <v>44956</v>
      </c>
      <c r="G404" s="3" t="s">
        <v>561</v>
      </c>
      <c r="H404" s="3" t="s">
        <v>198</v>
      </c>
      <c r="I404" s="3">
        <v>46</v>
      </c>
      <c r="J404" s="3"/>
      <c r="K404" s="3" t="s">
        <v>196</v>
      </c>
      <c r="L404" s="3">
        <v>4</v>
      </c>
      <c r="M404" s="4">
        <v>25</v>
      </c>
      <c r="N404">
        <f>L404 * M404</f>
        <v>100</v>
      </c>
      <c r="O404" s="15">
        <f>N404 *$R$3</f>
        <v>1.5</v>
      </c>
    </row>
    <row r="405" spans="1:15" ht="15.75">
      <c r="A405" s="3">
        <v>377</v>
      </c>
      <c r="B405">
        <f>DAY(F405)</f>
        <v>9</v>
      </c>
      <c r="C405" t="str">
        <f>TEXT(F405, "mmmm")</f>
        <v>March</v>
      </c>
      <c r="D405" s="3">
        <f>MONTH(F405)</f>
        <v>3</v>
      </c>
      <c r="E405" s="3">
        <f>YEAR(F405)</f>
        <v>2023</v>
      </c>
      <c r="F405" s="2">
        <v>44994</v>
      </c>
      <c r="G405" s="3" t="s">
        <v>562</v>
      </c>
      <c r="H405" s="3" t="s">
        <v>198</v>
      </c>
      <c r="I405" s="3">
        <v>46</v>
      </c>
      <c r="J405" s="3"/>
      <c r="K405" s="3" t="s">
        <v>195</v>
      </c>
      <c r="L405" s="3">
        <v>4</v>
      </c>
      <c r="M405" s="4">
        <v>50</v>
      </c>
      <c r="N405">
        <f>L405 * M405</f>
        <v>200</v>
      </c>
      <c r="O405" s="15">
        <f>N405 *$R$3</f>
        <v>3</v>
      </c>
    </row>
    <row r="406" spans="1:15" ht="15.75">
      <c r="A406" s="3">
        <v>383</v>
      </c>
      <c r="B406">
        <f>DAY(F406)</f>
        <v>22</v>
      </c>
      <c r="C406" t="str">
        <f>TEXT(F406, "mmmm")</f>
        <v>March</v>
      </c>
      <c r="D406" s="3">
        <f>MONTH(F406)</f>
        <v>3</v>
      </c>
      <c r="E406" s="3">
        <f>YEAR(F406)</f>
        <v>2023</v>
      </c>
      <c r="F406" s="2">
        <v>45007</v>
      </c>
      <c r="G406" s="3" t="s">
        <v>563</v>
      </c>
      <c r="H406" s="3" t="s">
        <v>198</v>
      </c>
      <c r="I406" s="3">
        <v>46</v>
      </c>
      <c r="J406" s="3"/>
      <c r="K406" s="3" t="s">
        <v>19</v>
      </c>
      <c r="L406" s="3">
        <v>3</v>
      </c>
      <c r="M406" s="4">
        <v>30</v>
      </c>
      <c r="N406">
        <f>L406 * M406</f>
        <v>90</v>
      </c>
      <c r="O406" s="15">
        <f>N406 *$R$3</f>
        <v>1.3499999999999999</v>
      </c>
    </row>
    <row r="407" spans="1:15" ht="15.75">
      <c r="A407" s="3">
        <v>404</v>
      </c>
      <c r="B407">
        <f>DAY(F407)</f>
        <v>25</v>
      </c>
      <c r="C407" t="str">
        <f>TEXT(F407, "mmmm")</f>
        <v>May</v>
      </c>
      <c r="D407" s="3">
        <f>MONTH(F407)</f>
        <v>5</v>
      </c>
      <c r="E407" s="3">
        <f>YEAR(F407)</f>
        <v>2023</v>
      </c>
      <c r="F407" s="2">
        <v>45071</v>
      </c>
      <c r="G407" s="3" t="s">
        <v>564</v>
      </c>
      <c r="H407" s="3" t="s">
        <v>18</v>
      </c>
      <c r="I407" s="3">
        <v>46</v>
      </c>
      <c r="J407" s="3"/>
      <c r="K407" s="3" t="s">
        <v>196</v>
      </c>
      <c r="L407" s="3">
        <v>2</v>
      </c>
      <c r="M407" s="4">
        <v>500</v>
      </c>
      <c r="N407">
        <f>L407 * M407</f>
        <v>1000</v>
      </c>
      <c r="O407" s="15">
        <f>N407 *$R$3</f>
        <v>15</v>
      </c>
    </row>
    <row r="408" spans="1:15">
      <c r="A408" s="3">
        <v>407</v>
      </c>
      <c r="B408">
        <f>DAY(F408)</f>
        <v>25</v>
      </c>
      <c r="C408" t="str">
        <f>TEXT(F408, "mmmm")</f>
        <v>June</v>
      </c>
      <c r="D408" s="3">
        <f>MONTH(F408)</f>
        <v>6</v>
      </c>
      <c r="E408" s="3">
        <f>YEAR(F408)</f>
        <v>2023</v>
      </c>
      <c r="F408" s="2">
        <v>45102</v>
      </c>
      <c r="G408" s="3" t="s">
        <v>565</v>
      </c>
      <c r="H408" s="3" t="s">
        <v>198</v>
      </c>
      <c r="I408" s="3">
        <v>46</v>
      </c>
      <c r="J408" s="3"/>
      <c r="K408" s="3" t="s">
        <v>196</v>
      </c>
      <c r="L408" s="3">
        <v>3</v>
      </c>
      <c r="M408" s="4">
        <v>300</v>
      </c>
      <c r="N408">
        <f>L408 * M408</f>
        <v>900</v>
      </c>
      <c r="O408" s="15">
        <f>N408 *$R$3</f>
        <v>13.5</v>
      </c>
    </row>
    <row r="409" spans="1:15" ht="15.75">
      <c r="A409" s="3">
        <v>454</v>
      </c>
      <c r="B409">
        <f>DAY(F409)</f>
        <v>22</v>
      </c>
      <c r="C409" t="str">
        <f>TEXT(F409, "mmmm")</f>
        <v>February</v>
      </c>
      <c r="D409" s="3">
        <f>MONTH(F409)</f>
        <v>2</v>
      </c>
      <c r="E409" s="3">
        <f>YEAR(F409)</f>
        <v>2023</v>
      </c>
      <c r="F409" s="2">
        <v>44979</v>
      </c>
      <c r="G409" s="3" t="s">
        <v>566</v>
      </c>
      <c r="H409" s="3" t="s">
        <v>198</v>
      </c>
      <c r="I409" s="3">
        <v>46</v>
      </c>
      <c r="J409" s="3"/>
      <c r="K409" s="3" t="s">
        <v>19</v>
      </c>
      <c r="L409" s="3">
        <v>1</v>
      </c>
      <c r="M409" s="4">
        <v>25</v>
      </c>
      <c r="N409">
        <f>L409 * M409</f>
        <v>25</v>
      </c>
      <c r="O409" s="15">
        <f>N409 *$R$3</f>
        <v>0.375</v>
      </c>
    </row>
    <row r="410" spans="1:15" ht="15.75">
      <c r="A410" s="3">
        <v>499</v>
      </c>
      <c r="B410">
        <f>DAY(F410)</f>
        <v>15</v>
      </c>
      <c r="C410" t="str">
        <f>TEXT(F410, "mmmm")</f>
        <v>January</v>
      </c>
      <c r="D410" s="3">
        <f>MONTH(F410)</f>
        <v>1</v>
      </c>
      <c r="E410" s="3">
        <f>YEAR(F410)</f>
        <v>2023</v>
      </c>
      <c r="F410" s="2">
        <v>44941</v>
      </c>
      <c r="G410" s="3" t="s">
        <v>57</v>
      </c>
      <c r="H410" s="3" t="s">
        <v>18</v>
      </c>
      <c r="I410" s="3">
        <v>46</v>
      </c>
      <c r="J410" s="3"/>
      <c r="K410" s="3" t="s">
        <v>19</v>
      </c>
      <c r="L410" s="3">
        <v>2</v>
      </c>
      <c r="M410" s="4">
        <v>30</v>
      </c>
      <c r="N410">
        <f>L410 * M410</f>
        <v>60</v>
      </c>
      <c r="O410" s="15">
        <f>N410 *$R$3</f>
        <v>0.89999999999999991</v>
      </c>
    </row>
    <row r="411" spans="1:15" ht="15.75">
      <c r="A411" s="3">
        <v>522</v>
      </c>
      <c r="B411">
        <f>DAY(F411)</f>
        <v>1</v>
      </c>
      <c r="C411" t="str">
        <f>TEXT(F411, "mmmm")</f>
        <v>January</v>
      </c>
      <c r="D411" s="3">
        <f>MONTH(F411)</f>
        <v>1</v>
      </c>
      <c r="E411" s="3">
        <f>YEAR(F411)</f>
        <v>2023</v>
      </c>
      <c r="F411" s="2">
        <v>44927</v>
      </c>
      <c r="G411" s="3" t="s">
        <v>157</v>
      </c>
      <c r="H411" s="3" t="s">
        <v>18</v>
      </c>
      <c r="I411" s="3">
        <v>46</v>
      </c>
      <c r="J411" s="3"/>
      <c r="K411" s="3" t="s">
        <v>19</v>
      </c>
      <c r="L411" s="3">
        <v>3</v>
      </c>
      <c r="M411" s="4">
        <v>500</v>
      </c>
      <c r="N411">
        <f>L411 * M411</f>
        <v>1500</v>
      </c>
      <c r="O411" s="15">
        <f>N411 *$R$3</f>
        <v>22.5</v>
      </c>
    </row>
    <row r="412" spans="1:15" ht="15.75">
      <c r="A412" s="3">
        <v>524</v>
      </c>
      <c r="B412">
        <f>DAY(F412)</f>
        <v>3</v>
      </c>
      <c r="C412" t="str">
        <f>TEXT(F412, "mmmm")</f>
        <v>October</v>
      </c>
      <c r="D412" s="3">
        <f>MONTH(F412)</f>
        <v>10</v>
      </c>
      <c r="E412" s="3">
        <f>YEAR(F412)</f>
        <v>2023</v>
      </c>
      <c r="F412" s="2">
        <v>45202</v>
      </c>
      <c r="G412" s="3" t="s">
        <v>148</v>
      </c>
      <c r="H412" s="3" t="s">
        <v>18</v>
      </c>
      <c r="I412" s="3">
        <v>46</v>
      </c>
      <c r="J412" s="3"/>
      <c r="K412" s="3" t="s">
        <v>19</v>
      </c>
      <c r="L412" s="3">
        <v>4</v>
      </c>
      <c r="M412" s="4">
        <v>300</v>
      </c>
      <c r="N412">
        <f>L412 * M412</f>
        <v>1200</v>
      </c>
      <c r="O412" s="15">
        <f>N412 *$R$3</f>
        <v>18</v>
      </c>
    </row>
    <row r="413" spans="1:15" ht="15.75">
      <c r="A413" s="3">
        <v>540</v>
      </c>
      <c r="B413">
        <f>DAY(F413)</f>
        <v>8</v>
      </c>
      <c r="C413" t="str">
        <f>TEXT(F413, "mmmm")</f>
        <v>December</v>
      </c>
      <c r="D413" s="3">
        <f>MONTH(F413)</f>
        <v>12</v>
      </c>
      <c r="E413" s="3">
        <f>YEAR(F413)</f>
        <v>2023</v>
      </c>
      <c r="F413" s="2">
        <v>45268</v>
      </c>
      <c r="G413" s="3" t="s">
        <v>567</v>
      </c>
      <c r="H413" s="3" t="s">
        <v>198</v>
      </c>
      <c r="I413" s="3">
        <v>46</v>
      </c>
      <c r="J413" s="3"/>
      <c r="K413" s="3" t="s">
        <v>196</v>
      </c>
      <c r="L413" s="3">
        <v>3</v>
      </c>
      <c r="M413" s="4">
        <v>300</v>
      </c>
      <c r="N413">
        <f>L413 * M413</f>
        <v>900</v>
      </c>
      <c r="O413" s="15">
        <f>N413 *$R$3</f>
        <v>13.5</v>
      </c>
    </row>
    <row r="414" spans="1:15" ht="15.75">
      <c r="A414" s="3">
        <v>554</v>
      </c>
      <c r="B414">
        <f>DAY(F414)</f>
        <v>12</v>
      </c>
      <c r="C414" t="str">
        <f>TEXT(F414, "mmmm")</f>
        <v>November</v>
      </c>
      <c r="D414" s="3">
        <f>MONTH(F414)</f>
        <v>11</v>
      </c>
      <c r="E414" s="3">
        <f>YEAR(F414)</f>
        <v>2023</v>
      </c>
      <c r="F414" s="2">
        <v>45242</v>
      </c>
      <c r="G414" s="3" t="s">
        <v>568</v>
      </c>
      <c r="H414" s="3" t="s">
        <v>198</v>
      </c>
      <c r="I414" s="3">
        <v>46</v>
      </c>
      <c r="J414" s="3"/>
      <c r="K414" s="3" t="s">
        <v>19</v>
      </c>
      <c r="L414" s="3">
        <v>3</v>
      </c>
      <c r="M414" s="4">
        <v>50</v>
      </c>
      <c r="N414">
        <f>L414 * M414</f>
        <v>150</v>
      </c>
      <c r="O414" s="15">
        <f>N414 *$R$3</f>
        <v>2.25</v>
      </c>
    </row>
    <row r="415" spans="1:15" ht="15.75">
      <c r="A415" s="3">
        <v>592</v>
      </c>
      <c r="B415">
        <f>DAY(F415)</f>
        <v>24</v>
      </c>
      <c r="C415" t="str">
        <f>TEXT(F415, "mmmm")</f>
        <v>January</v>
      </c>
      <c r="D415" s="3">
        <f>MONTH(F415)</f>
        <v>1</v>
      </c>
      <c r="E415" s="3">
        <f>YEAR(F415)</f>
        <v>2023</v>
      </c>
      <c r="F415" s="2">
        <v>44950</v>
      </c>
      <c r="G415" s="3" t="s">
        <v>569</v>
      </c>
      <c r="H415" s="3" t="s">
        <v>198</v>
      </c>
      <c r="I415" s="3">
        <v>46</v>
      </c>
      <c r="J415" s="3"/>
      <c r="K415" s="3" t="s">
        <v>19</v>
      </c>
      <c r="L415" s="3">
        <v>4</v>
      </c>
      <c r="M415" s="4">
        <v>500</v>
      </c>
      <c r="N415">
        <f>L415 * M415</f>
        <v>2000</v>
      </c>
      <c r="O415" s="15">
        <f>N415 *$R$3</f>
        <v>30</v>
      </c>
    </row>
    <row r="416" spans="1:15" ht="15.75">
      <c r="A416" s="3">
        <v>638</v>
      </c>
      <c r="B416">
        <f>DAY(F416)</f>
        <v>19</v>
      </c>
      <c r="C416" t="str">
        <f>TEXT(F416, "mmmm")</f>
        <v>August</v>
      </c>
      <c r="D416" s="3">
        <f>MONTH(F416)</f>
        <v>8</v>
      </c>
      <c r="E416" s="3">
        <f>YEAR(F416)</f>
        <v>2023</v>
      </c>
      <c r="F416" s="2">
        <v>45157</v>
      </c>
      <c r="G416" s="3" t="s">
        <v>570</v>
      </c>
      <c r="H416" s="3" t="s">
        <v>18</v>
      </c>
      <c r="I416" s="3">
        <v>46</v>
      </c>
      <c r="J416" s="3"/>
      <c r="K416" s="3" t="s">
        <v>196</v>
      </c>
      <c r="L416" s="3">
        <v>1</v>
      </c>
      <c r="M416" s="4">
        <v>500</v>
      </c>
      <c r="N416">
        <f>L416 * M416</f>
        <v>500</v>
      </c>
      <c r="O416" s="15">
        <f>N416 *$R$3</f>
        <v>7.5</v>
      </c>
    </row>
    <row r="417" spans="1:15" ht="15.75">
      <c r="A417" s="3">
        <v>682</v>
      </c>
      <c r="B417">
        <f>DAY(F417)</f>
        <v>2</v>
      </c>
      <c r="C417" t="str">
        <f>TEXT(F417, "mmmm")</f>
        <v>September</v>
      </c>
      <c r="D417" s="3">
        <f>MONTH(F417)</f>
        <v>9</v>
      </c>
      <c r="E417" s="3">
        <f>YEAR(F417)</f>
        <v>2023</v>
      </c>
      <c r="F417" s="2">
        <v>45171</v>
      </c>
      <c r="G417" s="3" t="s">
        <v>144</v>
      </c>
      <c r="H417" s="3" t="s">
        <v>18</v>
      </c>
      <c r="I417" s="3">
        <v>46</v>
      </c>
      <c r="J417" s="3"/>
      <c r="K417" s="3" t="s">
        <v>19</v>
      </c>
      <c r="L417" s="3">
        <v>4</v>
      </c>
      <c r="M417" s="4">
        <v>300</v>
      </c>
      <c r="N417">
        <f>L417 * M417</f>
        <v>1200</v>
      </c>
      <c r="O417" s="15">
        <f>N417 *$R$3</f>
        <v>18</v>
      </c>
    </row>
    <row r="418" spans="1:15" ht="15.75">
      <c r="A418" s="3">
        <v>775</v>
      </c>
      <c r="B418">
        <f>DAY(F418)</f>
        <v>8</v>
      </c>
      <c r="C418" t="str">
        <f>TEXT(F418, "mmmm")</f>
        <v>February</v>
      </c>
      <c r="D418" s="3">
        <f>MONTH(F418)</f>
        <v>2</v>
      </c>
      <c r="E418" s="3">
        <f>YEAR(F418)</f>
        <v>2023</v>
      </c>
      <c r="F418" s="2">
        <v>44965</v>
      </c>
      <c r="G418" s="3" t="s">
        <v>571</v>
      </c>
      <c r="H418" s="3" t="s">
        <v>198</v>
      </c>
      <c r="I418" s="3">
        <v>46</v>
      </c>
      <c r="J418" s="3"/>
      <c r="K418" s="3" t="s">
        <v>196</v>
      </c>
      <c r="L418" s="3">
        <v>4</v>
      </c>
      <c r="M418" s="4">
        <v>25</v>
      </c>
      <c r="N418">
        <f>L418 * M418</f>
        <v>100</v>
      </c>
      <c r="O418" s="15">
        <f>N418 *$R$3</f>
        <v>1.5</v>
      </c>
    </row>
    <row r="419" spans="1:15" ht="15.75">
      <c r="A419" s="3">
        <v>802</v>
      </c>
      <c r="B419">
        <f>DAY(F419)</f>
        <v>5</v>
      </c>
      <c r="C419" t="str">
        <f>TEXT(F419, "mmmm")</f>
        <v>July</v>
      </c>
      <c r="D419" s="3">
        <f>MONTH(F419)</f>
        <v>7</v>
      </c>
      <c r="E419" s="3">
        <f>YEAR(F419)</f>
        <v>2023</v>
      </c>
      <c r="F419" s="2">
        <v>45112</v>
      </c>
      <c r="G419" s="3" t="s">
        <v>572</v>
      </c>
      <c r="H419" s="3" t="s">
        <v>198</v>
      </c>
      <c r="I419" s="3">
        <v>46</v>
      </c>
      <c r="J419" s="3"/>
      <c r="K419" s="3" t="s">
        <v>19</v>
      </c>
      <c r="L419" s="3">
        <v>1</v>
      </c>
      <c r="M419" s="4">
        <v>30</v>
      </c>
      <c r="N419">
        <f>L419 * M419</f>
        <v>30</v>
      </c>
      <c r="O419" s="15">
        <f>N419 *$R$3</f>
        <v>0.44999999999999996</v>
      </c>
    </row>
    <row r="420" spans="1:15" ht="15.75">
      <c r="A420" s="3">
        <v>825</v>
      </c>
      <c r="B420">
        <f>DAY(F420)</f>
        <v>26</v>
      </c>
      <c r="C420" t="str">
        <f>TEXT(F420, "mmmm")</f>
        <v>August</v>
      </c>
      <c r="D420" s="3">
        <f>MONTH(F420)</f>
        <v>8</v>
      </c>
      <c r="E420" s="3">
        <f>YEAR(F420)</f>
        <v>2023</v>
      </c>
      <c r="F420" s="2">
        <v>45164</v>
      </c>
      <c r="G420" s="3" t="s">
        <v>573</v>
      </c>
      <c r="H420" s="3" t="s">
        <v>198</v>
      </c>
      <c r="I420" s="3">
        <v>46</v>
      </c>
      <c r="J420" s="3"/>
      <c r="K420" s="3" t="s">
        <v>19</v>
      </c>
      <c r="L420" s="3">
        <v>1</v>
      </c>
      <c r="M420" s="4">
        <v>25</v>
      </c>
      <c r="N420">
        <f>L420 * M420</f>
        <v>25</v>
      </c>
      <c r="O420" s="15">
        <f>N420 *$R$3</f>
        <v>0.375</v>
      </c>
    </row>
    <row r="421" spans="1:15" ht="15.75">
      <c r="A421" s="3">
        <v>826</v>
      </c>
      <c r="B421">
        <f>DAY(F421)</f>
        <v>19</v>
      </c>
      <c r="C421" t="str">
        <f>TEXT(F421, "mmmm")</f>
        <v>October</v>
      </c>
      <c r="D421" s="3">
        <f>MONTH(F421)</f>
        <v>10</v>
      </c>
      <c r="E421" s="3">
        <f>YEAR(F421)</f>
        <v>2023</v>
      </c>
      <c r="F421" s="2">
        <v>45218</v>
      </c>
      <c r="G421" s="3" t="s">
        <v>574</v>
      </c>
      <c r="H421" s="3" t="s">
        <v>198</v>
      </c>
      <c r="I421" s="3">
        <v>46</v>
      </c>
      <c r="J421" s="3"/>
      <c r="K421" s="3" t="s">
        <v>195</v>
      </c>
      <c r="L421" s="3">
        <v>1</v>
      </c>
      <c r="M421" s="4">
        <v>300</v>
      </c>
      <c r="N421">
        <f>L421 * M421</f>
        <v>300</v>
      </c>
      <c r="O421" s="15">
        <f>N421 *$R$3</f>
        <v>4.5</v>
      </c>
    </row>
    <row r="422" spans="1:15" ht="15.75">
      <c r="A422" s="3">
        <v>870</v>
      </c>
      <c r="B422">
        <f>DAY(F422)</f>
        <v>8</v>
      </c>
      <c r="C422" t="str">
        <f>TEXT(F422, "mmmm")</f>
        <v>July</v>
      </c>
      <c r="D422" s="3">
        <f>MONTH(F422)</f>
        <v>7</v>
      </c>
      <c r="E422" s="3">
        <f>YEAR(F422)</f>
        <v>2023</v>
      </c>
      <c r="F422" s="2">
        <v>45115</v>
      </c>
      <c r="G422" s="3" t="s">
        <v>575</v>
      </c>
      <c r="H422" s="3" t="s">
        <v>198</v>
      </c>
      <c r="I422" s="3">
        <v>46</v>
      </c>
      <c r="J422" s="3"/>
      <c r="K422" s="3" t="s">
        <v>196</v>
      </c>
      <c r="L422" s="3">
        <v>4</v>
      </c>
      <c r="M422" s="4">
        <v>30</v>
      </c>
      <c r="N422">
        <f>L422 * M422</f>
        <v>120</v>
      </c>
      <c r="O422" s="15">
        <f>N422 *$R$3</f>
        <v>1.7999999999999998</v>
      </c>
    </row>
    <row r="423" spans="1:15" ht="15.75">
      <c r="A423" s="3">
        <v>908</v>
      </c>
      <c r="B423">
        <f>DAY(F423)</f>
        <v>29</v>
      </c>
      <c r="C423" t="str">
        <f>TEXT(F423, "mmmm")</f>
        <v>December</v>
      </c>
      <c r="D423" s="3">
        <f>MONTH(F423)</f>
        <v>12</v>
      </c>
      <c r="E423" s="3">
        <f>YEAR(F423)</f>
        <v>2023</v>
      </c>
      <c r="F423" s="2">
        <v>45289</v>
      </c>
      <c r="G423" s="3" t="s">
        <v>143</v>
      </c>
      <c r="H423" s="3" t="s">
        <v>18</v>
      </c>
      <c r="I423" s="3">
        <v>46</v>
      </c>
      <c r="J423" s="3"/>
      <c r="K423" s="3" t="s">
        <v>19</v>
      </c>
      <c r="L423" s="3">
        <v>4</v>
      </c>
      <c r="M423" s="4">
        <v>300</v>
      </c>
      <c r="N423">
        <f>L423 * M423</f>
        <v>1200</v>
      </c>
      <c r="O423" s="15">
        <f>N423 *$R$3</f>
        <v>18</v>
      </c>
    </row>
    <row r="424" spans="1:15" ht="15.75">
      <c r="A424" s="3">
        <v>939</v>
      </c>
      <c r="B424">
        <f>DAY(F424)</f>
        <v>18</v>
      </c>
      <c r="C424" t="str">
        <f>TEXT(F424, "mmmm")</f>
        <v>December</v>
      </c>
      <c r="D424" s="3">
        <f>MONTH(F424)</f>
        <v>12</v>
      </c>
      <c r="E424" s="3">
        <f>YEAR(F424)</f>
        <v>2023</v>
      </c>
      <c r="F424" s="2">
        <v>45278</v>
      </c>
      <c r="G424" s="3" t="s">
        <v>576</v>
      </c>
      <c r="H424" s="3" t="s">
        <v>198</v>
      </c>
      <c r="I424" s="3">
        <v>46</v>
      </c>
      <c r="J424" s="3"/>
      <c r="K424" s="3" t="s">
        <v>196</v>
      </c>
      <c r="L424" s="3">
        <v>1</v>
      </c>
      <c r="M424" s="4">
        <v>300</v>
      </c>
      <c r="N424">
        <f>L424 * M424</f>
        <v>300</v>
      </c>
      <c r="O424" s="15">
        <f>N424 *$R$3</f>
        <v>4.5</v>
      </c>
    </row>
    <row r="425" spans="1:15" ht="15.75">
      <c r="A425" s="3">
        <v>982</v>
      </c>
      <c r="B425">
        <f>DAY(F425)</f>
        <v>19</v>
      </c>
      <c r="C425" t="str">
        <f>TEXT(F425, "mmmm")</f>
        <v>December</v>
      </c>
      <c r="D425" s="3">
        <f>MONTH(F425)</f>
        <v>12</v>
      </c>
      <c r="E425" s="3">
        <f>YEAR(F425)</f>
        <v>2023</v>
      </c>
      <c r="F425" s="2">
        <v>45279</v>
      </c>
      <c r="G425" s="3" t="s">
        <v>577</v>
      </c>
      <c r="H425" s="3" t="s">
        <v>198</v>
      </c>
      <c r="I425" s="3">
        <v>46</v>
      </c>
      <c r="J425" s="3"/>
      <c r="K425" s="3" t="s">
        <v>19</v>
      </c>
      <c r="L425" s="3">
        <v>3</v>
      </c>
      <c r="M425" s="4">
        <v>30</v>
      </c>
      <c r="N425">
        <f>L425 * M425</f>
        <v>90</v>
      </c>
      <c r="O425" s="15">
        <f>N425 *$R$3</f>
        <v>1.3499999999999999</v>
      </c>
    </row>
    <row r="426" spans="1:15" ht="15.75">
      <c r="A426" s="3">
        <v>6</v>
      </c>
      <c r="B426">
        <f>DAY(F426)</f>
        <v>25</v>
      </c>
      <c r="C426" t="str">
        <f>TEXT(F426, "mmmm")</f>
        <v>April</v>
      </c>
      <c r="D426" s="3">
        <f>MONTH(F426)</f>
        <v>4</v>
      </c>
      <c r="E426" s="3">
        <f>YEAR(F426)</f>
        <v>2023</v>
      </c>
      <c r="F426" s="2">
        <v>45041</v>
      </c>
      <c r="G426" s="3" t="s">
        <v>578</v>
      </c>
      <c r="H426" s="3" t="s">
        <v>198</v>
      </c>
      <c r="I426" s="3">
        <v>45</v>
      </c>
      <c r="J426" s="3"/>
      <c r="K426" s="3" t="s">
        <v>19</v>
      </c>
      <c r="L426" s="3">
        <v>1</v>
      </c>
      <c r="M426" s="4">
        <v>30</v>
      </c>
      <c r="N426">
        <f>L426 * M426</f>
        <v>30</v>
      </c>
      <c r="O426" s="15">
        <f>N426 *$R$3</f>
        <v>0.44999999999999996</v>
      </c>
    </row>
    <row r="427" spans="1:15" ht="15.75">
      <c r="A427" s="3">
        <v>40</v>
      </c>
      <c r="B427">
        <f>DAY(F427)</f>
        <v>22</v>
      </c>
      <c r="C427" t="str">
        <f>TEXT(F427, "mmmm")</f>
        <v>June</v>
      </c>
      <c r="D427" s="3">
        <f>MONTH(F427)</f>
        <v>6</v>
      </c>
      <c r="E427" s="3">
        <f>YEAR(F427)</f>
        <v>2023</v>
      </c>
      <c r="F427" s="2">
        <v>45099</v>
      </c>
      <c r="G427" s="3" t="s">
        <v>44</v>
      </c>
      <c r="H427" s="3" t="s">
        <v>18</v>
      </c>
      <c r="I427" s="3">
        <v>45</v>
      </c>
      <c r="J427" s="3"/>
      <c r="K427" s="3" t="s">
        <v>19</v>
      </c>
      <c r="L427" s="3">
        <v>1</v>
      </c>
      <c r="M427" s="4">
        <v>50</v>
      </c>
      <c r="N427">
        <f>L427 * M427</f>
        <v>50</v>
      </c>
      <c r="O427" s="15">
        <f>N427 *$R$3</f>
        <v>0.75</v>
      </c>
    </row>
    <row r="428" spans="1:15" ht="15.75">
      <c r="A428" s="3">
        <v>66</v>
      </c>
      <c r="B428">
        <f>DAY(F428)</f>
        <v>27</v>
      </c>
      <c r="C428" t="str">
        <f>TEXT(F428, "mmmm")</f>
        <v>April</v>
      </c>
      <c r="D428" s="3">
        <f>MONTH(F428)</f>
        <v>4</v>
      </c>
      <c r="E428" s="3">
        <f>YEAR(F428)</f>
        <v>2023</v>
      </c>
      <c r="F428" s="2">
        <v>45043</v>
      </c>
      <c r="G428" s="3" t="s">
        <v>579</v>
      </c>
      <c r="H428" s="3" t="s">
        <v>198</v>
      </c>
      <c r="I428" s="3">
        <v>45</v>
      </c>
      <c r="J428" s="3"/>
      <c r="K428" s="3" t="s">
        <v>196</v>
      </c>
      <c r="L428" s="3">
        <v>1</v>
      </c>
      <c r="M428" s="4">
        <v>30</v>
      </c>
      <c r="N428">
        <f>L428 * M428</f>
        <v>30</v>
      </c>
      <c r="O428" s="15">
        <f>N428 *$R$3</f>
        <v>0.44999999999999996</v>
      </c>
    </row>
    <row r="429" spans="1:15" ht="15.75">
      <c r="A429" s="3">
        <v>143</v>
      </c>
      <c r="B429">
        <f>DAY(F429)</f>
        <v>17</v>
      </c>
      <c r="C429" t="str">
        <f>TEXT(F429, "mmmm")</f>
        <v>July</v>
      </c>
      <c r="D429" s="3">
        <f>MONTH(F429)</f>
        <v>7</v>
      </c>
      <c r="E429" s="3">
        <f>YEAR(F429)</f>
        <v>2023</v>
      </c>
      <c r="F429" s="2">
        <v>45124</v>
      </c>
      <c r="G429" s="3" t="s">
        <v>580</v>
      </c>
      <c r="H429" s="3" t="s">
        <v>198</v>
      </c>
      <c r="I429" s="3">
        <v>45</v>
      </c>
      <c r="J429" s="3"/>
      <c r="K429" s="3" t="s">
        <v>195</v>
      </c>
      <c r="L429" s="3">
        <v>1</v>
      </c>
      <c r="M429" s="4">
        <v>50</v>
      </c>
      <c r="N429">
        <f>L429 * M429</f>
        <v>50</v>
      </c>
      <c r="O429" s="15">
        <f>N429 *$R$3</f>
        <v>0.75</v>
      </c>
    </row>
    <row r="430" spans="1:15" ht="15.75">
      <c r="A430" s="3">
        <v>177</v>
      </c>
      <c r="B430">
        <f>DAY(F430)</f>
        <v>24</v>
      </c>
      <c r="C430" t="str">
        <f>TEXT(F430, "mmmm")</f>
        <v>March</v>
      </c>
      <c r="D430" s="3">
        <f>MONTH(F430)</f>
        <v>3</v>
      </c>
      <c r="E430" s="3">
        <f>YEAR(F430)</f>
        <v>2023</v>
      </c>
      <c r="F430" s="2">
        <v>45009</v>
      </c>
      <c r="G430" s="3" t="s">
        <v>96</v>
      </c>
      <c r="H430" s="3" t="s">
        <v>18</v>
      </c>
      <c r="I430" s="3">
        <v>45</v>
      </c>
      <c r="J430" s="3"/>
      <c r="K430" s="3" t="s">
        <v>19</v>
      </c>
      <c r="L430" s="3">
        <v>2</v>
      </c>
      <c r="M430" s="4">
        <v>50</v>
      </c>
      <c r="N430">
        <f>L430 * M430</f>
        <v>100</v>
      </c>
      <c r="O430" s="15">
        <f>N430 *$R$3</f>
        <v>1.5</v>
      </c>
    </row>
    <row r="431" spans="1:15" ht="15.75">
      <c r="A431" s="3">
        <v>199</v>
      </c>
      <c r="B431">
        <f>DAY(F431)</f>
        <v>4</v>
      </c>
      <c r="C431" t="str">
        <f>TEXT(F431, "mmmm")</f>
        <v>December</v>
      </c>
      <c r="D431" s="3">
        <f>MONTH(F431)</f>
        <v>12</v>
      </c>
      <c r="E431" s="3">
        <f>YEAR(F431)</f>
        <v>2023</v>
      </c>
      <c r="F431" s="2">
        <v>45264</v>
      </c>
      <c r="G431" s="3" t="s">
        <v>161</v>
      </c>
      <c r="H431" s="3" t="s">
        <v>18</v>
      </c>
      <c r="I431" s="3">
        <v>45</v>
      </c>
      <c r="J431" s="3"/>
      <c r="K431" s="3" t="s">
        <v>19</v>
      </c>
      <c r="L431" s="3">
        <v>3</v>
      </c>
      <c r="M431" s="4">
        <v>500</v>
      </c>
      <c r="N431">
        <f>L431 * M431</f>
        <v>1500</v>
      </c>
      <c r="O431" s="15">
        <f>N431 *$R$3</f>
        <v>22.5</v>
      </c>
    </row>
    <row r="432" spans="1:15" ht="15.75">
      <c r="A432" s="3">
        <v>259</v>
      </c>
      <c r="B432">
        <f>DAY(F432)</f>
        <v>9</v>
      </c>
      <c r="C432" t="str">
        <f>TEXT(F432, "mmmm")</f>
        <v>August</v>
      </c>
      <c r="D432" s="3">
        <f>MONTH(F432)</f>
        <v>8</v>
      </c>
      <c r="E432" s="3">
        <f>YEAR(F432)</f>
        <v>2023</v>
      </c>
      <c r="F432" s="2">
        <v>45147</v>
      </c>
      <c r="G432" s="3" t="s">
        <v>581</v>
      </c>
      <c r="H432" s="3" t="s">
        <v>198</v>
      </c>
      <c r="I432" s="3">
        <v>45</v>
      </c>
      <c r="J432" s="3"/>
      <c r="K432" s="3" t="s">
        <v>195</v>
      </c>
      <c r="L432" s="3">
        <v>4</v>
      </c>
      <c r="M432" s="4">
        <v>50</v>
      </c>
      <c r="N432">
        <f>L432 * M432</f>
        <v>200</v>
      </c>
      <c r="O432" s="15">
        <f>N432 *$R$3</f>
        <v>3</v>
      </c>
    </row>
    <row r="433" spans="1:15" ht="15.75">
      <c r="A433" s="3">
        <v>451</v>
      </c>
      <c r="B433">
        <f>DAY(F433)</f>
        <v>16</v>
      </c>
      <c r="C433" t="str">
        <f>TEXT(F433, "mmmm")</f>
        <v>December</v>
      </c>
      <c r="D433" s="3">
        <f>MONTH(F433)</f>
        <v>12</v>
      </c>
      <c r="E433" s="3">
        <f>YEAR(F433)</f>
        <v>2023</v>
      </c>
      <c r="F433" s="2">
        <v>45276</v>
      </c>
      <c r="G433" s="3" t="s">
        <v>582</v>
      </c>
      <c r="H433" s="3" t="s">
        <v>198</v>
      </c>
      <c r="I433" s="3">
        <v>45</v>
      </c>
      <c r="J433" s="3"/>
      <c r="K433" s="3" t="s">
        <v>196</v>
      </c>
      <c r="L433" s="3">
        <v>1</v>
      </c>
      <c r="M433" s="4">
        <v>30</v>
      </c>
      <c r="N433">
        <f>L433 * M433</f>
        <v>30</v>
      </c>
      <c r="O433" s="15">
        <f>N433 *$R$3</f>
        <v>0.44999999999999996</v>
      </c>
    </row>
    <row r="434" spans="1:15" ht="15.75">
      <c r="A434" s="3">
        <v>503</v>
      </c>
      <c r="B434">
        <f>DAY(F434)</f>
        <v>25</v>
      </c>
      <c r="C434" t="str">
        <f>TEXT(F434, "mmmm")</f>
        <v>October</v>
      </c>
      <c r="D434" s="3">
        <f>MONTH(F434)</f>
        <v>10</v>
      </c>
      <c r="E434" s="3">
        <f>YEAR(F434)</f>
        <v>2023</v>
      </c>
      <c r="F434" s="2">
        <v>45224</v>
      </c>
      <c r="G434" s="3" t="s">
        <v>167</v>
      </c>
      <c r="H434" s="3" t="s">
        <v>18</v>
      </c>
      <c r="I434" s="3">
        <v>45</v>
      </c>
      <c r="J434" s="3"/>
      <c r="K434" s="3" t="s">
        <v>19</v>
      </c>
      <c r="L434" s="3">
        <v>4</v>
      </c>
      <c r="M434" s="4">
        <v>500</v>
      </c>
      <c r="N434">
        <f>L434 * M434</f>
        <v>2000</v>
      </c>
      <c r="O434" s="15">
        <f>N434 *$R$3</f>
        <v>30</v>
      </c>
    </row>
    <row r="435" spans="1:15" ht="15.75">
      <c r="A435" s="3">
        <v>511</v>
      </c>
      <c r="B435">
        <f>DAY(F435)</f>
        <v>12</v>
      </c>
      <c r="C435" t="str">
        <f>TEXT(F435, "mmmm")</f>
        <v>August</v>
      </c>
      <c r="D435" s="3">
        <f>MONTH(F435)</f>
        <v>8</v>
      </c>
      <c r="E435" s="3">
        <f>YEAR(F435)</f>
        <v>2023</v>
      </c>
      <c r="F435" s="2">
        <v>45150</v>
      </c>
      <c r="G435" s="3" t="s">
        <v>88</v>
      </c>
      <c r="H435" s="3" t="s">
        <v>18</v>
      </c>
      <c r="I435" s="3">
        <v>45</v>
      </c>
      <c r="J435" s="3"/>
      <c r="K435" s="3" t="s">
        <v>19</v>
      </c>
      <c r="L435" s="3">
        <v>2</v>
      </c>
      <c r="M435" s="4">
        <v>50</v>
      </c>
      <c r="N435">
        <f>L435 * M435</f>
        <v>100</v>
      </c>
      <c r="O435" s="15">
        <f>N435 *$R$3</f>
        <v>1.5</v>
      </c>
    </row>
    <row r="436" spans="1:15" ht="15.75">
      <c r="A436" s="3">
        <v>534</v>
      </c>
      <c r="B436">
        <f>DAY(F436)</f>
        <v>10</v>
      </c>
      <c r="C436" t="str">
        <f>TEXT(F436, "mmmm")</f>
        <v>June</v>
      </c>
      <c r="D436" s="3">
        <f>MONTH(F436)</f>
        <v>6</v>
      </c>
      <c r="E436" s="3">
        <f>YEAR(F436)</f>
        <v>2023</v>
      </c>
      <c r="F436" s="2">
        <v>45087</v>
      </c>
      <c r="G436" s="3" t="s">
        <v>583</v>
      </c>
      <c r="H436" s="3" t="s">
        <v>18</v>
      </c>
      <c r="I436" s="3">
        <v>45</v>
      </c>
      <c r="J436" s="3"/>
      <c r="K436" s="3" t="s">
        <v>195</v>
      </c>
      <c r="L436" s="3">
        <v>2</v>
      </c>
      <c r="M436" s="4">
        <v>500</v>
      </c>
      <c r="N436">
        <f>L436 * M436</f>
        <v>1000</v>
      </c>
      <c r="O436" s="15">
        <f>N436 *$R$3</f>
        <v>15</v>
      </c>
    </row>
    <row r="437" spans="1:15" ht="15.75">
      <c r="A437" s="3">
        <v>551</v>
      </c>
      <c r="B437">
        <f>DAY(F437)</f>
        <v>14</v>
      </c>
      <c r="C437" t="str">
        <f>TEXT(F437, "mmmm")</f>
        <v>July</v>
      </c>
      <c r="D437" s="3">
        <f>MONTH(F437)</f>
        <v>7</v>
      </c>
      <c r="E437" s="3">
        <f>YEAR(F437)</f>
        <v>2023</v>
      </c>
      <c r="F437" s="2">
        <v>45121</v>
      </c>
      <c r="G437" s="3" t="s">
        <v>584</v>
      </c>
      <c r="H437" s="3" t="s">
        <v>18</v>
      </c>
      <c r="I437" s="3">
        <v>45</v>
      </c>
      <c r="J437" s="3"/>
      <c r="K437" s="3" t="s">
        <v>196</v>
      </c>
      <c r="L437" s="3">
        <v>3</v>
      </c>
      <c r="M437" s="4">
        <v>300</v>
      </c>
      <c r="N437">
        <f>L437 * M437</f>
        <v>900</v>
      </c>
      <c r="O437" s="15">
        <f>N437 *$R$3</f>
        <v>13.5</v>
      </c>
    </row>
    <row r="438" spans="1:15" ht="15.75">
      <c r="A438" s="3">
        <v>565</v>
      </c>
      <c r="B438">
        <f>DAY(F438)</f>
        <v>7</v>
      </c>
      <c r="C438" t="str">
        <f>TEXT(F438, "mmmm")</f>
        <v>November</v>
      </c>
      <c r="D438" s="3">
        <f>MONTH(F438)</f>
        <v>11</v>
      </c>
      <c r="E438" s="3">
        <f>YEAR(F438)</f>
        <v>2023</v>
      </c>
      <c r="F438" s="2">
        <v>45237</v>
      </c>
      <c r="G438" s="3" t="s">
        <v>585</v>
      </c>
      <c r="H438" s="3" t="s">
        <v>198</v>
      </c>
      <c r="I438" s="3">
        <v>45</v>
      </c>
      <c r="J438" s="3"/>
      <c r="K438" s="3" t="s">
        <v>19</v>
      </c>
      <c r="L438" s="3">
        <v>2</v>
      </c>
      <c r="M438" s="4">
        <v>30</v>
      </c>
      <c r="N438">
        <f>L438 * M438</f>
        <v>60</v>
      </c>
      <c r="O438" s="15">
        <f>N438 *$R$3</f>
        <v>0.89999999999999991</v>
      </c>
    </row>
    <row r="439" spans="1:15" ht="15.75">
      <c r="A439" s="3">
        <v>675</v>
      </c>
      <c r="B439">
        <f>DAY(F439)</f>
        <v>4</v>
      </c>
      <c r="C439" t="str">
        <f>TEXT(F439, "mmmm")</f>
        <v>August</v>
      </c>
      <c r="D439" s="3">
        <f>MONTH(F439)</f>
        <v>8</v>
      </c>
      <c r="E439" s="3">
        <f>YEAR(F439)</f>
        <v>2023</v>
      </c>
      <c r="F439" s="2">
        <v>45142</v>
      </c>
      <c r="G439" s="3" t="s">
        <v>586</v>
      </c>
      <c r="H439" s="3" t="s">
        <v>198</v>
      </c>
      <c r="I439" s="3">
        <v>45</v>
      </c>
      <c r="J439" s="3"/>
      <c r="K439" s="3" t="s">
        <v>195</v>
      </c>
      <c r="L439" s="3">
        <v>2</v>
      </c>
      <c r="M439" s="4">
        <v>30</v>
      </c>
      <c r="N439">
        <f>L439 * M439</f>
        <v>60</v>
      </c>
      <c r="O439" s="15">
        <f>N439 *$R$3</f>
        <v>0.89999999999999991</v>
      </c>
    </row>
    <row r="440" spans="1:15" ht="15.75">
      <c r="A440" s="3">
        <v>907</v>
      </c>
      <c r="B440">
        <f>DAY(F440)</f>
        <v>8</v>
      </c>
      <c r="C440" t="str">
        <f>TEXT(F440, "mmmm")</f>
        <v>January</v>
      </c>
      <c r="D440" s="3">
        <f>MONTH(F440)</f>
        <v>1</v>
      </c>
      <c r="E440" s="3">
        <f>YEAR(F440)</f>
        <v>2023</v>
      </c>
      <c r="F440" s="2">
        <v>44934</v>
      </c>
      <c r="G440" s="3" t="s">
        <v>587</v>
      </c>
      <c r="H440" s="3" t="s">
        <v>198</v>
      </c>
      <c r="I440" s="3">
        <v>45</v>
      </c>
      <c r="J440" s="3"/>
      <c r="K440" s="3" t="s">
        <v>196</v>
      </c>
      <c r="L440" s="3">
        <v>1</v>
      </c>
      <c r="M440" s="4">
        <v>25</v>
      </c>
      <c r="N440">
        <f>L440 * M440</f>
        <v>25</v>
      </c>
      <c r="O440" s="15">
        <f>N440 *$R$3</f>
        <v>0.375</v>
      </c>
    </row>
    <row r="441" spans="1:15" ht="15.75">
      <c r="A441" s="3">
        <v>932</v>
      </c>
      <c r="B441">
        <f>DAY(F441)</f>
        <v>28</v>
      </c>
      <c r="C441" t="str">
        <f>TEXT(F441, "mmmm")</f>
        <v>February</v>
      </c>
      <c r="D441" s="3">
        <f>MONTH(F441)</f>
        <v>2</v>
      </c>
      <c r="E441" s="3">
        <f>YEAR(F441)</f>
        <v>2023</v>
      </c>
      <c r="F441" s="2">
        <v>44985</v>
      </c>
      <c r="G441" s="3" t="s">
        <v>588</v>
      </c>
      <c r="H441" s="3" t="s">
        <v>198</v>
      </c>
      <c r="I441" s="3">
        <v>45</v>
      </c>
      <c r="J441" s="3"/>
      <c r="K441" s="3" t="s">
        <v>19</v>
      </c>
      <c r="L441" s="3">
        <v>4</v>
      </c>
      <c r="M441" s="4">
        <v>25</v>
      </c>
      <c r="N441">
        <f>L441 * M441</f>
        <v>100</v>
      </c>
      <c r="O441" s="15">
        <f>N441 *$R$3</f>
        <v>1.5</v>
      </c>
    </row>
    <row r="442" spans="1:15" ht="15.75">
      <c r="A442" s="3">
        <v>953</v>
      </c>
      <c r="B442">
        <f>DAY(F442)</f>
        <v>26</v>
      </c>
      <c r="C442" t="str">
        <f>TEXT(F442, "mmmm")</f>
        <v>April</v>
      </c>
      <c r="D442" s="3">
        <f>MONTH(F442)</f>
        <v>4</v>
      </c>
      <c r="E442" s="3">
        <f>YEAR(F442)</f>
        <v>2023</v>
      </c>
      <c r="F442" s="2">
        <v>45042</v>
      </c>
      <c r="G442" s="3" t="s">
        <v>72</v>
      </c>
      <c r="H442" s="3" t="s">
        <v>18</v>
      </c>
      <c r="I442" s="3">
        <v>45</v>
      </c>
      <c r="J442" s="3"/>
      <c r="K442" s="3" t="s">
        <v>19</v>
      </c>
      <c r="L442" s="3">
        <v>3</v>
      </c>
      <c r="M442" s="4">
        <v>30</v>
      </c>
      <c r="N442">
        <f>L442 * M442</f>
        <v>90</v>
      </c>
      <c r="O442" s="15">
        <f>N442 *$R$3</f>
        <v>1.3499999999999999</v>
      </c>
    </row>
    <row r="443" spans="1:15" ht="15.75">
      <c r="A443" s="3">
        <v>31</v>
      </c>
      <c r="B443">
        <f>DAY(F443)</f>
        <v>23</v>
      </c>
      <c r="C443" t="str">
        <f>TEXT(F443, "mmmm")</f>
        <v>May</v>
      </c>
      <c r="D443" s="3">
        <f>MONTH(F443)</f>
        <v>5</v>
      </c>
      <c r="E443" s="3">
        <f>YEAR(F443)</f>
        <v>2023</v>
      </c>
      <c r="F443" s="2">
        <v>45069</v>
      </c>
      <c r="G443" s="3" t="s">
        <v>589</v>
      </c>
      <c r="H443" s="3" t="s">
        <v>18</v>
      </c>
      <c r="I443" s="3">
        <v>44</v>
      </c>
      <c r="J443" s="3"/>
      <c r="K443" s="3" t="s">
        <v>196</v>
      </c>
      <c r="L443" s="3">
        <v>4</v>
      </c>
      <c r="M443" s="4">
        <v>300</v>
      </c>
      <c r="N443">
        <f>L443 * M443</f>
        <v>1200</v>
      </c>
      <c r="O443" s="15">
        <f>N443 *$R$3</f>
        <v>18</v>
      </c>
    </row>
    <row r="444" spans="1:15" ht="15.75">
      <c r="A444" s="3">
        <v>96</v>
      </c>
      <c r="B444">
        <f>DAY(F444)</f>
        <v>19</v>
      </c>
      <c r="C444" t="str">
        <f>TEXT(F444, "mmmm")</f>
        <v>December</v>
      </c>
      <c r="D444" s="3">
        <f>MONTH(F444)</f>
        <v>12</v>
      </c>
      <c r="E444" s="3">
        <f>YEAR(F444)</f>
        <v>2023</v>
      </c>
      <c r="F444" s="2">
        <v>45279</v>
      </c>
      <c r="G444" s="3" t="s">
        <v>590</v>
      </c>
      <c r="H444" s="3" t="s">
        <v>198</v>
      </c>
      <c r="I444" s="3">
        <v>44</v>
      </c>
      <c r="J444" s="3"/>
      <c r="K444" s="3" t="s">
        <v>195</v>
      </c>
      <c r="L444" s="3">
        <v>2</v>
      </c>
      <c r="M444" s="4">
        <v>300</v>
      </c>
      <c r="N444">
        <f>L444 * M444</f>
        <v>600</v>
      </c>
      <c r="O444" s="15">
        <f>N444 *$R$3</f>
        <v>9</v>
      </c>
    </row>
    <row r="445" spans="1:15" ht="15.75">
      <c r="A445" s="3">
        <v>136</v>
      </c>
      <c r="B445">
        <f>DAY(F445)</f>
        <v>20</v>
      </c>
      <c r="C445" t="str">
        <f>TEXT(F445, "mmmm")</f>
        <v>March</v>
      </c>
      <c r="D445" s="3">
        <f>MONTH(F445)</f>
        <v>3</v>
      </c>
      <c r="E445" s="3">
        <f>YEAR(F445)</f>
        <v>2023</v>
      </c>
      <c r="F445" s="2">
        <v>45005</v>
      </c>
      <c r="G445" s="3" t="s">
        <v>591</v>
      </c>
      <c r="H445" s="3" t="s">
        <v>18</v>
      </c>
      <c r="I445" s="3">
        <v>44</v>
      </c>
      <c r="J445" s="3"/>
      <c r="K445" s="3" t="s">
        <v>196</v>
      </c>
      <c r="L445" s="3">
        <v>2</v>
      </c>
      <c r="M445" s="4">
        <v>300</v>
      </c>
      <c r="N445">
        <f>L445 * M445</f>
        <v>600</v>
      </c>
      <c r="O445" s="15">
        <f>N445 *$R$3</f>
        <v>9</v>
      </c>
    </row>
    <row r="446" spans="1:15" ht="15.75">
      <c r="A446" s="3">
        <v>158</v>
      </c>
      <c r="B446">
        <f>DAY(F446)</f>
        <v>27</v>
      </c>
      <c r="C446" t="str">
        <f>TEXT(F446, "mmmm")</f>
        <v>February</v>
      </c>
      <c r="D446" s="3">
        <f>MONTH(F446)</f>
        <v>2</v>
      </c>
      <c r="E446" s="3">
        <f>YEAR(F446)</f>
        <v>2023</v>
      </c>
      <c r="F446" s="2">
        <v>44984</v>
      </c>
      <c r="G446" s="3" t="s">
        <v>592</v>
      </c>
      <c r="H446" s="3" t="s">
        <v>198</v>
      </c>
      <c r="I446" s="3">
        <v>44</v>
      </c>
      <c r="J446" s="3"/>
      <c r="K446" s="3" t="s">
        <v>196</v>
      </c>
      <c r="L446" s="3">
        <v>2</v>
      </c>
      <c r="M446" s="4">
        <v>300</v>
      </c>
      <c r="N446">
        <f>L446 * M446</f>
        <v>600</v>
      </c>
      <c r="O446" s="15">
        <f>N446 *$R$3</f>
        <v>9</v>
      </c>
    </row>
    <row r="447" spans="1:15" ht="15.75">
      <c r="A447" s="3">
        <v>381</v>
      </c>
      <c r="B447">
        <f>DAY(F447)</f>
        <v>9</v>
      </c>
      <c r="C447" t="str">
        <f>TEXT(F447, "mmmm")</f>
        <v>July</v>
      </c>
      <c r="D447" s="3">
        <f>MONTH(F447)</f>
        <v>7</v>
      </c>
      <c r="E447" s="3">
        <f>YEAR(F447)</f>
        <v>2023</v>
      </c>
      <c r="F447" s="2">
        <v>45116</v>
      </c>
      <c r="G447" s="3" t="s">
        <v>593</v>
      </c>
      <c r="H447" s="3" t="s">
        <v>198</v>
      </c>
      <c r="I447" s="3">
        <v>44</v>
      </c>
      <c r="J447" s="3"/>
      <c r="K447" s="3" t="s">
        <v>195</v>
      </c>
      <c r="L447" s="3">
        <v>4</v>
      </c>
      <c r="M447" s="4">
        <v>25</v>
      </c>
      <c r="N447">
        <f>L447 * M447</f>
        <v>100</v>
      </c>
      <c r="O447" s="15">
        <f>N447 *$R$3</f>
        <v>1.5</v>
      </c>
    </row>
    <row r="448" spans="1:15" ht="15.75">
      <c r="A448" s="3">
        <v>387</v>
      </c>
      <c r="B448">
        <f>DAY(F448)</f>
        <v>4</v>
      </c>
      <c r="C448" t="str">
        <f>TEXT(F448, "mmmm")</f>
        <v>June</v>
      </c>
      <c r="D448" s="3">
        <f>MONTH(F448)</f>
        <v>6</v>
      </c>
      <c r="E448" s="3">
        <f>YEAR(F448)</f>
        <v>2023</v>
      </c>
      <c r="F448" s="2">
        <v>45081</v>
      </c>
      <c r="G448" s="3" t="s">
        <v>42</v>
      </c>
      <c r="H448" s="3" t="s">
        <v>18</v>
      </c>
      <c r="I448" s="3">
        <v>44</v>
      </c>
      <c r="J448" s="3"/>
      <c r="K448" s="3" t="s">
        <v>19</v>
      </c>
      <c r="L448" s="3">
        <v>1</v>
      </c>
      <c r="M448" s="4">
        <v>30</v>
      </c>
      <c r="N448">
        <f>L448 * M448</f>
        <v>30</v>
      </c>
      <c r="O448" s="15">
        <f>N448 *$R$3</f>
        <v>0.44999999999999996</v>
      </c>
    </row>
    <row r="449" spans="1:15" ht="15.75">
      <c r="A449" s="3">
        <v>413</v>
      </c>
      <c r="B449">
        <f>DAY(F449)</f>
        <v>8</v>
      </c>
      <c r="C449" t="str">
        <f>TEXT(F449, "mmmm")</f>
        <v>September</v>
      </c>
      <c r="D449" s="3">
        <f>MONTH(F449)</f>
        <v>9</v>
      </c>
      <c r="E449" s="3">
        <f>YEAR(F449)</f>
        <v>2023</v>
      </c>
      <c r="F449" s="2">
        <v>45177</v>
      </c>
      <c r="G449" s="3" t="s">
        <v>594</v>
      </c>
      <c r="H449" s="3" t="s">
        <v>198</v>
      </c>
      <c r="I449" s="3">
        <v>44</v>
      </c>
      <c r="J449" s="3"/>
      <c r="K449" s="3" t="s">
        <v>19</v>
      </c>
      <c r="L449" s="3">
        <v>3</v>
      </c>
      <c r="M449" s="4">
        <v>25</v>
      </c>
      <c r="N449">
        <f>L449 * M449</f>
        <v>75</v>
      </c>
      <c r="O449" s="15">
        <f>N449 *$R$3</f>
        <v>1.125</v>
      </c>
    </row>
    <row r="450" spans="1:15" ht="15.75">
      <c r="A450" s="3">
        <v>419</v>
      </c>
      <c r="B450">
        <f>DAY(F450)</f>
        <v>22</v>
      </c>
      <c r="C450" t="str">
        <f>TEXT(F450, "mmmm")</f>
        <v>May</v>
      </c>
      <c r="D450" s="3">
        <f>MONTH(F450)</f>
        <v>5</v>
      </c>
      <c r="E450" s="3">
        <f>YEAR(F450)</f>
        <v>2023</v>
      </c>
      <c r="F450" s="2">
        <v>45068</v>
      </c>
      <c r="G450" s="3" t="s">
        <v>595</v>
      </c>
      <c r="H450" s="3" t="s">
        <v>198</v>
      </c>
      <c r="I450" s="3">
        <v>44</v>
      </c>
      <c r="J450" s="3"/>
      <c r="K450" s="3" t="s">
        <v>195</v>
      </c>
      <c r="L450" s="3">
        <v>3</v>
      </c>
      <c r="M450" s="4">
        <v>30</v>
      </c>
      <c r="N450">
        <f>L450 * M450</f>
        <v>90</v>
      </c>
      <c r="O450" s="15">
        <f>N450 *$R$3</f>
        <v>1.3499999999999999</v>
      </c>
    </row>
    <row r="451" spans="1:15" ht="15.75">
      <c r="A451" s="3">
        <v>487</v>
      </c>
      <c r="B451">
        <f>DAY(F451)</f>
        <v>24</v>
      </c>
      <c r="C451" t="str">
        <f>TEXT(F451, "mmmm")</f>
        <v>July</v>
      </c>
      <c r="D451" s="3">
        <f>MONTH(F451)</f>
        <v>7</v>
      </c>
      <c r="E451" s="3">
        <f>YEAR(F451)</f>
        <v>2023</v>
      </c>
      <c r="F451" s="2">
        <v>45131</v>
      </c>
      <c r="G451" s="3" t="s">
        <v>596</v>
      </c>
      <c r="H451" s="3" t="s">
        <v>18</v>
      </c>
      <c r="I451" s="3">
        <v>44</v>
      </c>
      <c r="J451" s="3"/>
      <c r="K451" s="3" t="s">
        <v>195</v>
      </c>
      <c r="L451" s="3">
        <v>4</v>
      </c>
      <c r="M451" s="4">
        <v>500</v>
      </c>
      <c r="N451">
        <f>L451 * M451</f>
        <v>2000</v>
      </c>
      <c r="O451" s="15">
        <f>N451 *$R$3</f>
        <v>30</v>
      </c>
    </row>
    <row r="452" spans="1:15" ht="15.75">
      <c r="A452" s="3">
        <v>489</v>
      </c>
      <c r="B452">
        <f>DAY(F452)</f>
        <v>23</v>
      </c>
      <c r="C452" t="str">
        <f>TEXT(F452, "mmmm")</f>
        <v>May</v>
      </c>
      <c r="D452" s="3">
        <f>MONTH(F452)</f>
        <v>5</v>
      </c>
      <c r="E452" s="3">
        <f>YEAR(F452)</f>
        <v>2023</v>
      </c>
      <c r="F452" s="2">
        <v>45069</v>
      </c>
      <c r="G452" s="3" t="s">
        <v>597</v>
      </c>
      <c r="H452" s="3" t="s">
        <v>18</v>
      </c>
      <c r="I452" s="3">
        <v>44</v>
      </c>
      <c r="J452" s="3"/>
      <c r="K452" s="3" t="s">
        <v>196</v>
      </c>
      <c r="L452" s="3">
        <v>1</v>
      </c>
      <c r="M452" s="4">
        <v>30</v>
      </c>
      <c r="N452">
        <f>L452 * M452</f>
        <v>30</v>
      </c>
      <c r="O452" s="15">
        <f>N452 *$R$3</f>
        <v>0.44999999999999996</v>
      </c>
    </row>
    <row r="453" spans="1:15" ht="15.75">
      <c r="A453" s="3">
        <v>661</v>
      </c>
      <c r="B453">
        <f>DAY(F453)</f>
        <v>16</v>
      </c>
      <c r="C453" t="str">
        <f>TEXT(F453, "mmmm")</f>
        <v>July</v>
      </c>
      <c r="D453" s="3">
        <f>MONTH(F453)</f>
        <v>7</v>
      </c>
      <c r="E453" s="3">
        <f>YEAR(F453)</f>
        <v>2023</v>
      </c>
      <c r="F453" s="2">
        <v>45123</v>
      </c>
      <c r="G453" s="3" t="s">
        <v>598</v>
      </c>
      <c r="H453" s="3" t="s">
        <v>198</v>
      </c>
      <c r="I453" s="3">
        <v>44</v>
      </c>
      <c r="J453" s="3"/>
      <c r="K453" s="3" t="s">
        <v>195</v>
      </c>
      <c r="L453" s="3">
        <v>4</v>
      </c>
      <c r="M453" s="4">
        <v>25</v>
      </c>
      <c r="N453">
        <f>L453 * M453</f>
        <v>100</v>
      </c>
      <c r="O453" s="15">
        <f>N453 *$R$3</f>
        <v>1.5</v>
      </c>
    </row>
    <row r="454" spans="1:15" ht="15.75">
      <c r="A454" s="3">
        <v>664</v>
      </c>
      <c r="B454">
        <f>DAY(F454)</f>
        <v>28</v>
      </c>
      <c r="C454" t="str">
        <f>TEXT(F454, "mmmm")</f>
        <v>December</v>
      </c>
      <c r="D454" s="3">
        <f>MONTH(F454)</f>
        <v>12</v>
      </c>
      <c r="E454" s="3">
        <f>YEAR(F454)</f>
        <v>2023</v>
      </c>
      <c r="F454" s="2">
        <v>45288</v>
      </c>
      <c r="G454" s="3" t="s">
        <v>599</v>
      </c>
      <c r="H454" s="3" t="s">
        <v>198</v>
      </c>
      <c r="I454" s="3">
        <v>44</v>
      </c>
      <c r="J454" s="3"/>
      <c r="K454" s="3" t="s">
        <v>195</v>
      </c>
      <c r="L454" s="3">
        <v>4</v>
      </c>
      <c r="M454" s="4">
        <v>500</v>
      </c>
      <c r="N454">
        <f>L454 * M454</f>
        <v>2000</v>
      </c>
      <c r="O454" s="15">
        <f>N454 *$R$3</f>
        <v>30</v>
      </c>
    </row>
    <row r="455" spans="1:15" ht="15.75">
      <c r="A455" s="3">
        <v>944</v>
      </c>
      <c r="B455">
        <f>DAY(F455)</f>
        <v>5</v>
      </c>
      <c r="C455" t="str">
        <f>TEXT(F455, "mmmm")</f>
        <v>June</v>
      </c>
      <c r="D455" s="3">
        <f>MONTH(F455)</f>
        <v>6</v>
      </c>
      <c r="E455" s="3">
        <f>YEAR(F455)</f>
        <v>2023</v>
      </c>
      <c r="F455" s="2">
        <v>45082</v>
      </c>
      <c r="G455" s="3" t="s">
        <v>600</v>
      </c>
      <c r="H455" s="3" t="s">
        <v>18</v>
      </c>
      <c r="I455" s="3">
        <v>44</v>
      </c>
      <c r="J455" s="3"/>
      <c r="K455" s="3" t="s">
        <v>195</v>
      </c>
      <c r="L455" s="3">
        <v>2</v>
      </c>
      <c r="M455" s="4">
        <v>25</v>
      </c>
      <c r="N455">
        <f>L455 * M455</f>
        <v>50</v>
      </c>
      <c r="O455" s="15">
        <f>N455 *$R$3</f>
        <v>0.75</v>
      </c>
    </row>
    <row r="456" spans="1:15" ht="15.75">
      <c r="A456" s="3">
        <v>962</v>
      </c>
      <c r="B456">
        <f>DAY(F456)</f>
        <v>19</v>
      </c>
      <c r="C456" t="str">
        <f>TEXT(F456, "mmmm")</f>
        <v>October</v>
      </c>
      <c r="D456" s="3">
        <f>MONTH(F456)</f>
        <v>10</v>
      </c>
      <c r="E456" s="3">
        <f>YEAR(F456)</f>
        <v>2023</v>
      </c>
      <c r="F456" s="2">
        <v>45218</v>
      </c>
      <c r="G456" s="3" t="s">
        <v>601</v>
      </c>
      <c r="H456" s="3" t="s">
        <v>18</v>
      </c>
      <c r="I456" s="3">
        <v>44</v>
      </c>
      <c r="J456" s="3"/>
      <c r="K456" s="3" t="s">
        <v>195</v>
      </c>
      <c r="L456" s="3">
        <v>2</v>
      </c>
      <c r="M456" s="4">
        <v>30</v>
      </c>
      <c r="N456">
        <f>L456 * M456</f>
        <v>60</v>
      </c>
      <c r="O456" s="15">
        <f>N456 *$R$3</f>
        <v>0.89999999999999991</v>
      </c>
    </row>
    <row r="457" spans="1:15" ht="15.75">
      <c r="A457" s="3">
        <v>989</v>
      </c>
      <c r="B457">
        <f>DAY(F457)</f>
        <v>28</v>
      </c>
      <c r="C457" t="str">
        <f>TEXT(F457, "mmmm")</f>
        <v>December</v>
      </c>
      <c r="D457" s="3">
        <f>MONTH(F457)</f>
        <v>12</v>
      </c>
      <c r="E457" s="3">
        <f>YEAR(F457)</f>
        <v>2023</v>
      </c>
      <c r="F457" s="2">
        <v>45288</v>
      </c>
      <c r="G457" s="3" t="s">
        <v>602</v>
      </c>
      <c r="H457" s="3" t="s">
        <v>198</v>
      </c>
      <c r="I457" s="3">
        <v>44</v>
      </c>
      <c r="J457" s="3"/>
      <c r="K457" s="3" t="s">
        <v>196</v>
      </c>
      <c r="L457" s="3">
        <v>1</v>
      </c>
      <c r="M457" s="4">
        <v>25</v>
      </c>
      <c r="N457">
        <f>L457 * M457</f>
        <v>25</v>
      </c>
      <c r="O457" s="15">
        <f>N457 *$R$3</f>
        <v>0.375</v>
      </c>
    </row>
    <row r="458" spans="1:15" ht="15.75">
      <c r="A458" s="3">
        <v>28</v>
      </c>
      <c r="B458">
        <f>DAY(F458)</f>
        <v>23</v>
      </c>
      <c r="C458" t="str">
        <f>TEXT(F458, "mmmm")</f>
        <v>April</v>
      </c>
      <c r="D458" s="3">
        <f>MONTH(F458)</f>
        <v>4</v>
      </c>
      <c r="E458" s="3">
        <f>YEAR(F458)</f>
        <v>2023</v>
      </c>
      <c r="F458" s="2">
        <v>45039</v>
      </c>
      <c r="G458" s="3" t="s">
        <v>603</v>
      </c>
      <c r="H458" s="3" t="s">
        <v>198</v>
      </c>
      <c r="I458" s="3">
        <v>43</v>
      </c>
      <c r="J458" s="3"/>
      <c r="K458" s="3" t="s">
        <v>19</v>
      </c>
      <c r="L458" s="3">
        <v>1</v>
      </c>
      <c r="M458" s="4">
        <v>500</v>
      </c>
      <c r="N458">
        <f>L458 * M458</f>
        <v>500</v>
      </c>
      <c r="O458" s="15">
        <f>N458 *$R$3</f>
        <v>7.5</v>
      </c>
    </row>
    <row r="459" spans="1:15" ht="15.75">
      <c r="A459" s="3">
        <v>70</v>
      </c>
      <c r="B459">
        <f>DAY(F459)</f>
        <v>21</v>
      </c>
      <c r="C459" t="str">
        <f>TEXT(F459, "mmmm")</f>
        <v>February</v>
      </c>
      <c r="D459" s="3">
        <f>MONTH(F459)</f>
        <v>2</v>
      </c>
      <c r="E459" s="3">
        <f>YEAR(F459)</f>
        <v>2023</v>
      </c>
      <c r="F459" s="2">
        <v>44978</v>
      </c>
      <c r="G459" s="3" t="s">
        <v>604</v>
      </c>
      <c r="H459" s="3" t="s">
        <v>198</v>
      </c>
      <c r="I459" s="3">
        <v>43</v>
      </c>
      <c r="J459" s="3"/>
      <c r="K459" s="3" t="s">
        <v>195</v>
      </c>
      <c r="L459" s="3">
        <v>1</v>
      </c>
      <c r="M459" s="4">
        <v>300</v>
      </c>
      <c r="N459">
        <f>L459 * M459</f>
        <v>300</v>
      </c>
      <c r="O459" s="15">
        <f>N459 *$R$3</f>
        <v>4.5</v>
      </c>
    </row>
    <row r="460" spans="1:15" ht="15.75">
      <c r="A460" s="3">
        <v>152</v>
      </c>
      <c r="B460">
        <f>DAY(F460)</f>
        <v>28</v>
      </c>
      <c r="C460" t="str">
        <f>TEXT(F460, "mmmm")</f>
        <v>February</v>
      </c>
      <c r="D460" s="3">
        <f>MONTH(F460)</f>
        <v>2</v>
      </c>
      <c r="E460" s="3">
        <f>YEAR(F460)</f>
        <v>2023</v>
      </c>
      <c r="F460" s="2">
        <v>44985</v>
      </c>
      <c r="G460" s="3" t="s">
        <v>605</v>
      </c>
      <c r="H460" s="3" t="s">
        <v>18</v>
      </c>
      <c r="I460" s="3">
        <v>43</v>
      </c>
      <c r="J460" s="3"/>
      <c r="K460" s="3" t="s">
        <v>196</v>
      </c>
      <c r="L460" s="3">
        <v>4</v>
      </c>
      <c r="M460" s="4">
        <v>500</v>
      </c>
      <c r="N460">
        <f>L460 * M460</f>
        <v>2000</v>
      </c>
      <c r="O460" s="15">
        <f>N460 *$R$3</f>
        <v>30</v>
      </c>
    </row>
    <row r="461" spans="1:15" ht="15.75">
      <c r="A461" s="3">
        <v>156</v>
      </c>
      <c r="B461">
        <f>DAY(F461)</f>
        <v>25</v>
      </c>
      <c r="C461" t="str">
        <f>TEXT(F461, "mmmm")</f>
        <v>November</v>
      </c>
      <c r="D461" s="3">
        <f>MONTH(F461)</f>
        <v>11</v>
      </c>
      <c r="E461" s="3">
        <f>YEAR(F461)</f>
        <v>2023</v>
      </c>
      <c r="F461" s="2">
        <v>45255</v>
      </c>
      <c r="G461" s="3" t="s">
        <v>606</v>
      </c>
      <c r="H461" s="3" t="s">
        <v>198</v>
      </c>
      <c r="I461" s="3">
        <v>43</v>
      </c>
      <c r="J461" s="3"/>
      <c r="K461" s="3" t="s">
        <v>195</v>
      </c>
      <c r="L461" s="3">
        <v>4</v>
      </c>
      <c r="M461" s="4">
        <v>25</v>
      </c>
      <c r="N461">
        <f>L461 * M461</f>
        <v>100</v>
      </c>
      <c r="O461" s="15">
        <f>N461 *$R$3</f>
        <v>1.5</v>
      </c>
    </row>
    <row r="462" spans="1:15" ht="15.75">
      <c r="A462" s="3">
        <v>160</v>
      </c>
      <c r="B462">
        <f>DAY(F462)</f>
        <v>11</v>
      </c>
      <c r="C462" t="str">
        <f>TEXT(F462, "mmmm")</f>
        <v>August</v>
      </c>
      <c r="D462" s="3">
        <f>MONTH(F462)</f>
        <v>8</v>
      </c>
      <c r="E462" s="3">
        <f>YEAR(F462)</f>
        <v>2023</v>
      </c>
      <c r="F462" s="2">
        <v>45149</v>
      </c>
      <c r="G462" s="3" t="s">
        <v>607</v>
      </c>
      <c r="H462" s="3" t="s">
        <v>198</v>
      </c>
      <c r="I462" s="3">
        <v>43</v>
      </c>
      <c r="J462" s="3"/>
      <c r="K462" s="3" t="s">
        <v>195</v>
      </c>
      <c r="L462" s="3">
        <v>2</v>
      </c>
      <c r="M462" s="4">
        <v>50</v>
      </c>
      <c r="N462">
        <f>L462 * M462</f>
        <v>100</v>
      </c>
      <c r="O462" s="15">
        <f>N462 *$R$3</f>
        <v>1.5</v>
      </c>
    </row>
    <row r="463" spans="1:15" ht="15.75">
      <c r="A463" s="3">
        <v>167</v>
      </c>
      <c r="B463">
        <f>DAY(F463)</f>
        <v>17</v>
      </c>
      <c r="C463" t="str">
        <f>TEXT(F463, "mmmm")</f>
        <v>September</v>
      </c>
      <c r="D463" s="3">
        <f>MONTH(F463)</f>
        <v>9</v>
      </c>
      <c r="E463" s="3">
        <f>YEAR(F463)</f>
        <v>2023</v>
      </c>
      <c r="F463" s="2">
        <v>45186</v>
      </c>
      <c r="G463" s="3" t="s">
        <v>608</v>
      </c>
      <c r="H463" s="3" t="s">
        <v>198</v>
      </c>
      <c r="I463" s="3">
        <v>43</v>
      </c>
      <c r="J463" s="3"/>
      <c r="K463" s="3" t="s">
        <v>195</v>
      </c>
      <c r="L463" s="3">
        <v>3</v>
      </c>
      <c r="M463" s="4">
        <v>50</v>
      </c>
      <c r="N463">
        <f>L463 * M463</f>
        <v>150</v>
      </c>
      <c r="O463" s="15">
        <f>N463 *$R$3</f>
        <v>2.25</v>
      </c>
    </row>
    <row r="464" spans="1:15" ht="15.75">
      <c r="A464" s="3">
        <v>176</v>
      </c>
      <c r="B464">
        <f>DAY(F464)</f>
        <v>11</v>
      </c>
      <c r="C464" t="str">
        <f>TEXT(F464, "mmmm")</f>
        <v>July</v>
      </c>
      <c r="D464" s="3">
        <f>MONTH(F464)</f>
        <v>7</v>
      </c>
      <c r="E464" s="3">
        <f>YEAR(F464)</f>
        <v>2023</v>
      </c>
      <c r="F464" s="2">
        <v>45118</v>
      </c>
      <c r="G464" s="3" t="s">
        <v>609</v>
      </c>
      <c r="H464" s="3" t="s">
        <v>198</v>
      </c>
      <c r="I464" s="3">
        <v>43</v>
      </c>
      <c r="J464" s="3"/>
      <c r="K464" s="3" t="s">
        <v>19</v>
      </c>
      <c r="L464" s="3">
        <v>2</v>
      </c>
      <c r="M464" s="4">
        <v>50</v>
      </c>
      <c r="N464">
        <f>L464 * M464</f>
        <v>100</v>
      </c>
      <c r="O464" s="15">
        <f>N464 *$R$3</f>
        <v>1.5</v>
      </c>
    </row>
    <row r="465" spans="1:15" ht="15.75">
      <c r="A465" s="3">
        <v>183</v>
      </c>
      <c r="B465">
        <f>DAY(F465)</f>
        <v>8</v>
      </c>
      <c r="C465" t="str">
        <f>TEXT(F465, "mmmm")</f>
        <v>September</v>
      </c>
      <c r="D465" s="3">
        <f>MONTH(F465)</f>
        <v>9</v>
      </c>
      <c r="E465" s="3">
        <f>YEAR(F465)</f>
        <v>2023</v>
      </c>
      <c r="F465" s="2">
        <v>45177</v>
      </c>
      <c r="G465" s="3" t="s">
        <v>610</v>
      </c>
      <c r="H465" s="3" t="s">
        <v>198</v>
      </c>
      <c r="I465" s="3">
        <v>43</v>
      </c>
      <c r="J465" s="3"/>
      <c r="K465" s="3" t="s">
        <v>19</v>
      </c>
      <c r="L465" s="3">
        <v>3</v>
      </c>
      <c r="M465" s="4">
        <v>300</v>
      </c>
      <c r="N465">
        <f>L465 * M465</f>
        <v>900</v>
      </c>
      <c r="O465" s="15">
        <f>N465 *$R$3</f>
        <v>13.5</v>
      </c>
    </row>
    <row r="466" spans="1:15" ht="15.75">
      <c r="A466" s="3">
        <v>205</v>
      </c>
      <c r="B466">
        <f>DAY(F466)</f>
        <v>7</v>
      </c>
      <c r="C466" t="str">
        <f>TEXT(F466, "mmmm")</f>
        <v>November</v>
      </c>
      <c r="D466" s="3">
        <f>MONTH(F466)</f>
        <v>11</v>
      </c>
      <c r="E466" s="3">
        <f>YEAR(F466)</f>
        <v>2023</v>
      </c>
      <c r="F466" s="2">
        <v>45237</v>
      </c>
      <c r="G466" s="3" t="s">
        <v>611</v>
      </c>
      <c r="H466" s="3" t="s">
        <v>198</v>
      </c>
      <c r="I466" s="3">
        <v>43</v>
      </c>
      <c r="J466" s="3"/>
      <c r="K466" s="3" t="s">
        <v>195</v>
      </c>
      <c r="L466" s="3">
        <v>1</v>
      </c>
      <c r="M466" s="4">
        <v>25</v>
      </c>
      <c r="N466">
        <f>L466 * M466</f>
        <v>25</v>
      </c>
      <c r="O466" s="15">
        <f>N466 *$R$3</f>
        <v>0.375</v>
      </c>
    </row>
    <row r="467" spans="1:15" ht="15.75">
      <c r="A467" s="3">
        <v>232</v>
      </c>
      <c r="B467">
        <f>DAY(F467)</f>
        <v>6</v>
      </c>
      <c r="C467" t="str">
        <f>TEXT(F467, "mmmm")</f>
        <v>February</v>
      </c>
      <c r="D467" s="3">
        <f>MONTH(F467)</f>
        <v>2</v>
      </c>
      <c r="E467" s="3">
        <f>YEAR(F467)</f>
        <v>2023</v>
      </c>
      <c r="F467" s="2">
        <v>44963</v>
      </c>
      <c r="G467" s="3" t="s">
        <v>612</v>
      </c>
      <c r="H467" s="3" t="s">
        <v>198</v>
      </c>
      <c r="I467" s="3">
        <v>43</v>
      </c>
      <c r="J467" s="3"/>
      <c r="K467" s="3" t="s">
        <v>19</v>
      </c>
      <c r="L467" s="3">
        <v>1</v>
      </c>
      <c r="M467" s="4">
        <v>25</v>
      </c>
      <c r="N467">
        <f>L467 * M467</f>
        <v>25</v>
      </c>
      <c r="O467" s="15">
        <f>N467 *$R$3</f>
        <v>0.375</v>
      </c>
    </row>
    <row r="468" spans="1:15" ht="15.75">
      <c r="A468" s="3">
        <v>270</v>
      </c>
      <c r="B468">
        <f>DAY(F468)</f>
        <v>26</v>
      </c>
      <c r="C468" t="str">
        <f>TEXT(F468, "mmmm")</f>
        <v>July</v>
      </c>
      <c r="D468" s="3">
        <f>MONTH(F468)</f>
        <v>7</v>
      </c>
      <c r="E468" s="3">
        <f>YEAR(F468)</f>
        <v>2023</v>
      </c>
      <c r="F468" s="2">
        <v>45133</v>
      </c>
      <c r="G468" s="3" t="s">
        <v>613</v>
      </c>
      <c r="H468" s="3" t="s">
        <v>18</v>
      </c>
      <c r="I468" s="3">
        <v>43</v>
      </c>
      <c r="J468" s="3"/>
      <c r="K468" s="3" t="s">
        <v>196</v>
      </c>
      <c r="L468" s="3">
        <v>1</v>
      </c>
      <c r="M468" s="4">
        <v>300</v>
      </c>
      <c r="N468">
        <f>L468 * M468</f>
        <v>300</v>
      </c>
      <c r="O468" s="15">
        <f>N468 *$R$3</f>
        <v>4.5</v>
      </c>
    </row>
    <row r="469" spans="1:15" ht="15.75">
      <c r="A469" s="3">
        <v>275</v>
      </c>
      <c r="B469">
        <f>DAY(F469)</f>
        <v>8</v>
      </c>
      <c r="C469" t="str">
        <f>TEXT(F469, "mmmm")</f>
        <v>April</v>
      </c>
      <c r="D469" s="3">
        <f>MONTH(F469)</f>
        <v>4</v>
      </c>
      <c r="E469" s="3">
        <f>YEAR(F469)</f>
        <v>2023</v>
      </c>
      <c r="F469" s="2">
        <v>45024</v>
      </c>
      <c r="G469" s="3" t="s">
        <v>614</v>
      </c>
      <c r="H469" s="3" t="s">
        <v>18</v>
      </c>
      <c r="I469" s="3">
        <v>43</v>
      </c>
      <c r="J469" s="3"/>
      <c r="K469" s="3" t="s">
        <v>195</v>
      </c>
      <c r="L469" s="3">
        <v>2</v>
      </c>
      <c r="M469" s="4">
        <v>500</v>
      </c>
      <c r="N469">
        <f>L469 * M469</f>
        <v>1000</v>
      </c>
      <c r="O469" s="15">
        <f>N469 *$R$3</f>
        <v>15</v>
      </c>
    </row>
    <row r="470" spans="1:15" ht="15.75">
      <c r="A470" s="3">
        <v>284</v>
      </c>
      <c r="B470">
        <f>DAY(F470)</f>
        <v>8</v>
      </c>
      <c r="C470" t="str">
        <f>TEXT(F470, "mmmm")</f>
        <v>February</v>
      </c>
      <c r="D470" s="3">
        <f>MONTH(F470)</f>
        <v>2</v>
      </c>
      <c r="E470" s="3">
        <f>YEAR(F470)</f>
        <v>2023</v>
      </c>
      <c r="F470" s="2">
        <v>44965</v>
      </c>
      <c r="G470" s="3" t="s">
        <v>615</v>
      </c>
      <c r="H470" s="3" t="s">
        <v>18</v>
      </c>
      <c r="I470" s="3">
        <v>43</v>
      </c>
      <c r="J470" s="3"/>
      <c r="K470" s="3" t="s">
        <v>195</v>
      </c>
      <c r="L470" s="3">
        <v>4</v>
      </c>
      <c r="M470" s="4">
        <v>50</v>
      </c>
      <c r="N470">
        <f>L470 * M470</f>
        <v>200</v>
      </c>
      <c r="O470" s="15">
        <f>N470 *$R$3</f>
        <v>3</v>
      </c>
    </row>
    <row r="471" spans="1:15" ht="15.75">
      <c r="A471" s="3">
        <v>342</v>
      </c>
      <c r="B471">
        <f>DAY(F471)</f>
        <v>24</v>
      </c>
      <c r="C471" t="str">
        <f>TEXT(F471, "mmmm")</f>
        <v>October</v>
      </c>
      <c r="D471" s="3">
        <f>MONTH(F471)</f>
        <v>10</v>
      </c>
      <c r="E471" s="3">
        <f>YEAR(F471)</f>
        <v>2023</v>
      </c>
      <c r="F471" s="2">
        <v>45223</v>
      </c>
      <c r="G471" s="3" t="s">
        <v>616</v>
      </c>
      <c r="H471" s="3" t="s">
        <v>198</v>
      </c>
      <c r="I471" s="3">
        <v>43</v>
      </c>
      <c r="J471" s="3"/>
      <c r="K471" s="3" t="s">
        <v>195</v>
      </c>
      <c r="L471" s="3">
        <v>4</v>
      </c>
      <c r="M471" s="4">
        <v>500</v>
      </c>
      <c r="N471">
        <f>L471 * M471</f>
        <v>2000</v>
      </c>
      <c r="O471" s="15">
        <f>N471 *$R$3</f>
        <v>30</v>
      </c>
    </row>
    <row r="472" spans="1:15" ht="15.75">
      <c r="A472" s="3">
        <v>417</v>
      </c>
      <c r="B472">
        <f>DAY(F472)</f>
        <v>21</v>
      </c>
      <c r="C472" t="str">
        <f>TEXT(F472, "mmmm")</f>
        <v>November</v>
      </c>
      <c r="D472" s="3">
        <f>MONTH(F472)</f>
        <v>11</v>
      </c>
      <c r="E472" s="3">
        <f>YEAR(F472)</f>
        <v>2023</v>
      </c>
      <c r="F472" s="2">
        <v>45251</v>
      </c>
      <c r="G472" s="3" t="s">
        <v>617</v>
      </c>
      <c r="H472" s="3" t="s">
        <v>18</v>
      </c>
      <c r="I472" s="3">
        <v>43</v>
      </c>
      <c r="J472" s="3"/>
      <c r="K472" s="3" t="s">
        <v>196</v>
      </c>
      <c r="L472" s="3">
        <v>3</v>
      </c>
      <c r="M472" s="4">
        <v>300</v>
      </c>
      <c r="N472">
        <f>L472 * M472</f>
        <v>900</v>
      </c>
      <c r="O472" s="15">
        <f>N472 *$R$3</f>
        <v>13.5</v>
      </c>
    </row>
    <row r="473" spans="1:15" ht="15.75">
      <c r="A473" s="3">
        <v>430</v>
      </c>
      <c r="B473">
        <f>DAY(F473)</f>
        <v>7</v>
      </c>
      <c r="C473" t="str">
        <f>TEXT(F473, "mmmm")</f>
        <v>August</v>
      </c>
      <c r="D473" s="3">
        <f>MONTH(F473)</f>
        <v>8</v>
      </c>
      <c r="E473" s="3">
        <f>YEAR(F473)</f>
        <v>2023</v>
      </c>
      <c r="F473" s="2">
        <v>45145</v>
      </c>
      <c r="G473" s="3" t="s">
        <v>618</v>
      </c>
      <c r="H473" s="3" t="s">
        <v>198</v>
      </c>
      <c r="I473" s="3">
        <v>43</v>
      </c>
      <c r="J473" s="3"/>
      <c r="K473" s="3" t="s">
        <v>196</v>
      </c>
      <c r="L473" s="3">
        <v>3</v>
      </c>
      <c r="M473" s="4">
        <v>300</v>
      </c>
      <c r="N473">
        <f>L473 * M473</f>
        <v>900</v>
      </c>
      <c r="O473" s="15">
        <f>N473 *$R$3</f>
        <v>13.5</v>
      </c>
    </row>
    <row r="474" spans="1:15" ht="15.75">
      <c r="A474" s="3">
        <v>434</v>
      </c>
      <c r="B474">
        <f>DAY(F474)</f>
        <v>8</v>
      </c>
      <c r="C474" t="str">
        <f>TEXT(F474, "mmmm")</f>
        <v>February</v>
      </c>
      <c r="D474" s="3">
        <f>MONTH(F474)</f>
        <v>2</v>
      </c>
      <c r="E474" s="3">
        <f>YEAR(F474)</f>
        <v>2023</v>
      </c>
      <c r="F474" s="2">
        <v>44965</v>
      </c>
      <c r="G474" s="3" t="s">
        <v>619</v>
      </c>
      <c r="H474" s="3" t="s">
        <v>198</v>
      </c>
      <c r="I474" s="3">
        <v>43</v>
      </c>
      <c r="J474" s="3"/>
      <c r="K474" s="3" t="s">
        <v>196</v>
      </c>
      <c r="L474" s="3">
        <v>2</v>
      </c>
      <c r="M474" s="4">
        <v>25</v>
      </c>
      <c r="N474">
        <f>L474 * M474</f>
        <v>50</v>
      </c>
      <c r="O474" s="15">
        <f>N474 *$R$3</f>
        <v>0.75</v>
      </c>
    </row>
    <row r="475" spans="1:15" ht="15.75">
      <c r="A475" s="3">
        <v>465</v>
      </c>
      <c r="B475">
        <f>DAY(F475)</f>
        <v>2</v>
      </c>
      <c r="C475" t="str">
        <f>TEXT(F475, "mmmm")</f>
        <v>April</v>
      </c>
      <c r="D475" s="3">
        <f>MONTH(F475)</f>
        <v>4</v>
      </c>
      <c r="E475" s="3">
        <f>YEAR(F475)</f>
        <v>2023</v>
      </c>
      <c r="F475" s="2">
        <v>45018</v>
      </c>
      <c r="G475" s="3" t="s">
        <v>620</v>
      </c>
      <c r="H475" s="3" t="s">
        <v>198</v>
      </c>
      <c r="I475" s="3">
        <v>43</v>
      </c>
      <c r="J475" s="3"/>
      <c r="K475" s="3" t="s">
        <v>196</v>
      </c>
      <c r="L475" s="3">
        <v>3</v>
      </c>
      <c r="M475" s="4">
        <v>50</v>
      </c>
      <c r="N475">
        <f>L475 * M475</f>
        <v>150</v>
      </c>
      <c r="O475" s="15">
        <f>N475 *$R$3</f>
        <v>2.25</v>
      </c>
    </row>
    <row r="476" spans="1:15" ht="15.75">
      <c r="A476" s="3">
        <v>477</v>
      </c>
      <c r="B476">
        <f>DAY(F476)</f>
        <v>24</v>
      </c>
      <c r="C476" t="str">
        <f>TEXT(F476, "mmmm")</f>
        <v>April</v>
      </c>
      <c r="D476" s="3">
        <f>MONTH(F476)</f>
        <v>4</v>
      </c>
      <c r="E476" s="3">
        <f>YEAR(F476)</f>
        <v>2023</v>
      </c>
      <c r="F476" s="2">
        <v>45040</v>
      </c>
      <c r="G476" s="3" t="s">
        <v>621</v>
      </c>
      <c r="H476" s="3" t="s">
        <v>18</v>
      </c>
      <c r="I476" s="3">
        <v>43</v>
      </c>
      <c r="J476" s="3"/>
      <c r="K476" s="3" t="s">
        <v>195</v>
      </c>
      <c r="L476" s="3">
        <v>4</v>
      </c>
      <c r="M476" s="4">
        <v>30</v>
      </c>
      <c r="N476">
        <f>L476 * M476</f>
        <v>120</v>
      </c>
      <c r="O476" s="15">
        <f>N476 *$R$3</f>
        <v>1.7999999999999998</v>
      </c>
    </row>
    <row r="477" spans="1:15" ht="15.75">
      <c r="A477" s="3">
        <v>481</v>
      </c>
      <c r="B477">
        <f>DAY(F477)</f>
        <v>6</v>
      </c>
      <c r="C477" t="str">
        <f>TEXT(F477, "mmmm")</f>
        <v>June</v>
      </c>
      <c r="D477" s="3">
        <f>MONTH(F477)</f>
        <v>6</v>
      </c>
      <c r="E477" s="3">
        <f>YEAR(F477)</f>
        <v>2023</v>
      </c>
      <c r="F477" s="2">
        <v>45083</v>
      </c>
      <c r="G477" s="3" t="s">
        <v>622</v>
      </c>
      <c r="H477" s="3" t="s">
        <v>198</v>
      </c>
      <c r="I477" s="3">
        <v>43</v>
      </c>
      <c r="J477" s="3"/>
      <c r="K477" s="3" t="s">
        <v>196</v>
      </c>
      <c r="L477" s="3">
        <v>4</v>
      </c>
      <c r="M477" s="4">
        <v>300</v>
      </c>
      <c r="N477">
        <f>L477 * M477</f>
        <v>1200</v>
      </c>
      <c r="O477" s="15">
        <f>N477 *$R$3</f>
        <v>18</v>
      </c>
    </row>
    <row r="478" spans="1:15" ht="15.75">
      <c r="A478" s="3">
        <v>502</v>
      </c>
      <c r="B478">
        <f>DAY(F478)</f>
        <v>2</v>
      </c>
      <c r="C478" t="str">
        <f>TEXT(F478, "mmmm")</f>
        <v>April</v>
      </c>
      <c r="D478" s="3">
        <f>MONTH(F478)</f>
        <v>4</v>
      </c>
      <c r="E478" s="3">
        <f>YEAR(F478)</f>
        <v>2023</v>
      </c>
      <c r="F478" s="2">
        <v>45018</v>
      </c>
      <c r="G478" s="3" t="s">
        <v>623</v>
      </c>
      <c r="H478" s="3" t="s">
        <v>18</v>
      </c>
      <c r="I478" s="3">
        <v>43</v>
      </c>
      <c r="J478" s="3"/>
      <c r="K478" s="3" t="s">
        <v>196</v>
      </c>
      <c r="L478" s="3">
        <v>3</v>
      </c>
      <c r="M478" s="4">
        <v>50</v>
      </c>
      <c r="N478">
        <f>L478 * M478</f>
        <v>150</v>
      </c>
      <c r="O478" s="15">
        <f>N478 *$R$3</f>
        <v>2.25</v>
      </c>
    </row>
    <row r="479" spans="1:15" ht="15.75">
      <c r="A479" s="3">
        <v>637</v>
      </c>
      <c r="B479">
        <f>DAY(F479)</f>
        <v>1</v>
      </c>
      <c r="C479" t="str">
        <f>TEXT(F479, "mmmm")</f>
        <v>September</v>
      </c>
      <c r="D479" s="3">
        <f>MONTH(F479)</f>
        <v>9</v>
      </c>
      <c r="E479" s="3">
        <f>YEAR(F479)</f>
        <v>2023</v>
      </c>
      <c r="F479" s="2">
        <v>45170</v>
      </c>
      <c r="G479" s="3" t="s">
        <v>624</v>
      </c>
      <c r="H479" s="3" t="s">
        <v>18</v>
      </c>
      <c r="I479" s="3">
        <v>43</v>
      </c>
      <c r="J479" s="3"/>
      <c r="K479" s="3" t="s">
        <v>195</v>
      </c>
      <c r="L479" s="3">
        <v>2</v>
      </c>
      <c r="M479" s="4">
        <v>300</v>
      </c>
      <c r="N479">
        <f>L479 * M479</f>
        <v>600</v>
      </c>
      <c r="O479" s="15">
        <f>N479 *$R$3</f>
        <v>9</v>
      </c>
    </row>
    <row r="480" spans="1:15" ht="15.75">
      <c r="A480" s="3">
        <v>673</v>
      </c>
      <c r="B480">
        <f>DAY(F480)</f>
        <v>1</v>
      </c>
      <c r="C480" t="str">
        <f>TEXT(F480, "mmmm")</f>
        <v>February</v>
      </c>
      <c r="D480" s="3">
        <f>MONTH(F480)</f>
        <v>2</v>
      </c>
      <c r="E480" s="3">
        <f>YEAR(F480)</f>
        <v>2023</v>
      </c>
      <c r="F480" s="2">
        <v>44958</v>
      </c>
      <c r="G480" s="3" t="s">
        <v>625</v>
      </c>
      <c r="H480" s="3" t="s">
        <v>198</v>
      </c>
      <c r="I480" s="3">
        <v>43</v>
      </c>
      <c r="J480" s="3"/>
      <c r="K480" s="3" t="s">
        <v>195</v>
      </c>
      <c r="L480" s="3">
        <v>3</v>
      </c>
      <c r="M480" s="4">
        <v>500</v>
      </c>
      <c r="N480">
        <f>L480 * M480</f>
        <v>1500</v>
      </c>
      <c r="O480" s="15">
        <f>N480 *$R$3</f>
        <v>22.5</v>
      </c>
    </row>
    <row r="481" spans="1:15" ht="15.75">
      <c r="A481" s="3">
        <v>681</v>
      </c>
      <c r="B481">
        <f>DAY(F481)</f>
        <v>14</v>
      </c>
      <c r="C481" t="str">
        <f>TEXT(F481, "mmmm")</f>
        <v>July</v>
      </c>
      <c r="D481" s="3">
        <f>MONTH(F481)</f>
        <v>7</v>
      </c>
      <c r="E481" s="3">
        <f>YEAR(F481)</f>
        <v>2023</v>
      </c>
      <c r="F481" s="2">
        <v>45121</v>
      </c>
      <c r="G481" s="3" t="s">
        <v>626</v>
      </c>
      <c r="H481" s="3" t="s">
        <v>198</v>
      </c>
      <c r="I481" s="3">
        <v>43</v>
      </c>
      <c r="J481" s="3"/>
      <c r="K481" s="3" t="s">
        <v>196</v>
      </c>
      <c r="L481" s="3">
        <v>2</v>
      </c>
      <c r="M481" s="4">
        <v>30</v>
      </c>
      <c r="N481">
        <f>L481 * M481</f>
        <v>60</v>
      </c>
      <c r="O481" s="15">
        <f>N481 *$R$3</f>
        <v>0.89999999999999991</v>
      </c>
    </row>
    <row r="482" spans="1:15" ht="15.75">
      <c r="A482" s="3">
        <v>708</v>
      </c>
      <c r="B482">
        <f>DAY(F482)</f>
        <v>14</v>
      </c>
      <c r="C482" t="str">
        <f>TEXT(F482, "mmmm")</f>
        <v>January</v>
      </c>
      <c r="D482" s="3">
        <f>MONTH(F482)</f>
        <v>1</v>
      </c>
      <c r="E482" s="3">
        <f>YEAR(F482)</f>
        <v>2023</v>
      </c>
      <c r="F482" s="2">
        <v>44940</v>
      </c>
      <c r="G482" s="3" t="s">
        <v>627</v>
      </c>
      <c r="H482" s="3" t="s">
        <v>198</v>
      </c>
      <c r="I482" s="3">
        <v>43</v>
      </c>
      <c r="J482" s="3"/>
      <c r="K482" s="3" t="s">
        <v>19</v>
      </c>
      <c r="L482" s="3">
        <v>3</v>
      </c>
      <c r="M482" s="4">
        <v>300</v>
      </c>
      <c r="N482">
        <f>L482 * M482</f>
        <v>900</v>
      </c>
      <c r="O482" s="15">
        <f>N482 *$R$3</f>
        <v>13.5</v>
      </c>
    </row>
    <row r="483" spans="1:15" ht="15.75">
      <c r="A483" s="3">
        <v>754</v>
      </c>
      <c r="B483">
        <f>DAY(F483)</f>
        <v>16</v>
      </c>
      <c r="C483" t="str">
        <f>TEXT(F483, "mmmm")</f>
        <v>October</v>
      </c>
      <c r="D483" s="3">
        <f>MONTH(F483)</f>
        <v>10</v>
      </c>
      <c r="E483" s="3">
        <f>YEAR(F483)</f>
        <v>2023</v>
      </c>
      <c r="F483" s="2">
        <v>45215</v>
      </c>
      <c r="G483" s="3" t="s">
        <v>628</v>
      </c>
      <c r="H483" s="3" t="s">
        <v>198</v>
      </c>
      <c r="I483" s="3">
        <v>43</v>
      </c>
      <c r="J483" s="3"/>
      <c r="K483" s="3" t="s">
        <v>196</v>
      </c>
      <c r="L483" s="3">
        <v>4</v>
      </c>
      <c r="M483" s="4">
        <v>25</v>
      </c>
      <c r="N483">
        <f>L483 * M483</f>
        <v>100</v>
      </c>
      <c r="O483" s="15">
        <f>N483 *$R$3</f>
        <v>1.5</v>
      </c>
    </row>
    <row r="484" spans="1:15" ht="15.75">
      <c r="A484" s="3">
        <v>757</v>
      </c>
      <c r="B484">
        <f>DAY(F484)</f>
        <v>25</v>
      </c>
      <c r="C484" t="str">
        <f>TEXT(F484, "mmmm")</f>
        <v>December</v>
      </c>
      <c r="D484" s="3">
        <f>MONTH(F484)</f>
        <v>12</v>
      </c>
      <c r="E484" s="3">
        <f>YEAR(F484)</f>
        <v>2023</v>
      </c>
      <c r="F484" s="2">
        <v>45285</v>
      </c>
      <c r="G484" s="3" t="s">
        <v>629</v>
      </c>
      <c r="H484" s="3" t="s">
        <v>198</v>
      </c>
      <c r="I484" s="3">
        <v>43</v>
      </c>
      <c r="J484" s="3"/>
      <c r="K484" s="3" t="s">
        <v>196</v>
      </c>
      <c r="L484" s="3">
        <v>4</v>
      </c>
      <c r="M484" s="4">
        <v>300</v>
      </c>
      <c r="N484">
        <f>L484 * M484</f>
        <v>1200</v>
      </c>
      <c r="O484" s="15">
        <f>N484 *$R$3</f>
        <v>18</v>
      </c>
    </row>
    <row r="485" spans="1:15" ht="15.75">
      <c r="A485" s="3">
        <v>765</v>
      </c>
      <c r="B485">
        <f>DAY(F485)</f>
        <v>9</v>
      </c>
      <c r="C485" t="str">
        <f>TEXT(F485, "mmmm")</f>
        <v>June</v>
      </c>
      <c r="D485" s="3">
        <f>MONTH(F485)</f>
        <v>6</v>
      </c>
      <c r="E485" s="3">
        <f>YEAR(F485)</f>
        <v>2023</v>
      </c>
      <c r="F485" s="2">
        <v>45086</v>
      </c>
      <c r="G485" s="3" t="s">
        <v>630</v>
      </c>
      <c r="H485" s="3" t="s">
        <v>18</v>
      </c>
      <c r="I485" s="3">
        <v>43</v>
      </c>
      <c r="J485" s="3"/>
      <c r="K485" s="3" t="s">
        <v>195</v>
      </c>
      <c r="L485" s="3">
        <v>4</v>
      </c>
      <c r="M485" s="4">
        <v>50</v>
      </c>
      <c r="N485">
        <f>L485 * M485</f>
        <v>200</v>
      </c>
      <c r="O485" s="15">
        <f>N485 *$R$3</f>
        <v>3</v>
      </c>
    </row>
    <row r="486" spans="1:15" ht="15.75">
      <c r="A486" s="3">
        <v>796</v>
      </c>
      <c r="B486">
        <f>DAY(F486)</f>
        <v>24</v>
      </c>
      <c r="C486" t="str">
        <f>TEXT(F486, "mmmm")</f>
        <v>June</v>
      </c>
      <c r="D486" s="3">
        <f>MONTH(F486)</f>
        <v>6</v>
      </c>
      <c r="E486" s="3">
        <f>YEAR(F486)</f>
        <v>2023</v>
      </c>
      <c r="F486" s="2">
        <v>45101</v>
      </c>
      <c r="G486" s="3" t="s">
        <v>98</v>
      </c>
      <c r="H486" s="3" t="s">
        <v>18</v>
      </c>
      <c r="I486" s="3">
        <v>43</v>
      </c>
      <c r="J486" s="3"/>
      <c r="K486" s="3" t="s">
        <v>19</v>
      </c>
      <c r="L486" s="3">
        <v>4</v>
      </c>
      <c r="M486" s="4">
        <v>30</v>
      </c>
      <c r="N486">
        <f>L486 * M486</f>
        <v>120</v>
      </c>
      <c r="O486" s="15">
        <f>N486 *$R$3</f>
        <v>1.7999999999999998</v>
      </c>
    </row>
    <row r="487" spans="1:15" ht="15.75">
      <c r="A487" s="3">
        <v>876</v>
      </c>
      <c r="B487">
        <f>DAY(F487)</f>
        <v>9</v>
      </c>
      <c r="C487" t="str">
        <f>TEXT(F487, "mmmm")</f>
        <v>October</v>
      </c>
      <c r="D487" s="3">
        <f>MONTH(F487)</f>
        <v>10</v>
      </c>
      <c r="E487" s="3">
        <f>YEAR(F487)</f>
        <v>2023</v>
      </c>
      <c r="F487" s="2">
        <v>45208</v>
      </c>
      <c r="G487" s="3" t="s">
        <v>631</v>
      </c>
      <c r="H487" s="3" t="s">
        <v>18</v>
      </c>
      <c r="I487" s="3">
        <v>43</v>
      </c>
      <c r="J487" s="3"/>
      <c r="K487" s="3" t="s">
        <v>195</v>
      </c>
      <c r="L487" s="3">
        <v>4</v>
      </c>
      <c r="M487" s="4">
        <v>30</v>
      </c>
      <c r="N487">
        <f>L487 * M487</f>
        <v>120</v>
      </c>
      <c r="O487" s="15">
        <f>N487 *$R$3</f>
        <v>1.7999999999999998</v>
      </c>
    </row>
    <row r="488" spans="1:15" ht="15.75">
      <c r="A488" s="3">
        <v>927</v>
      </c>
      <c r="B488">
        <f>DAY(F488)</f>
        <v>24</v>
      </c>
      <c r="C488" t="str">
        <f>TEXT(F488, "mmmm")</f>
        <v>June</v>
      </c>
      <c r="D488" s="3">
        <f>MONTH(F488)</f>
        <v>6</v>
      </c>
      <c r="E488" s="3">
        <f>YEAR(F488)</f>
        <v>2023</v>
      </c>
      <c r="F488" s="2">
        <v>45101</v>
      </c>
      <c r="G488" s="3" t="s">
        <v>632</v>
      </c>
      <c r="H488" s="3" t="s">
        <v>18</v>
      </c>
      <c r="I488" s="3">
        <v>43</v>
      </c>
      <c r="J488" s="3"/>
      <c r="K488" s="3" t="s">
        <v>196</v>
      </c>
      <c r="L488" s="3">
        <v>4</v>
      </c>
      <c r="M488" s="4">
        <v>500</v>
      </c>
      <c r="N488">
        <f>L488 * M488</f>
        <v>2000</v>
      </c>
      <c r="O488" s="15">
        <f>N488 *$R$3</f>
        <v>30</v>
      </c>
    </row>
    <row r="489" spans="1:15" ht="15.75">
      <c r="A489" s="3">
        <v>15</v>
      </c>
      <c r="B489">
        <f>DAY(F489)</f>
        <v>16</v>
      </c>
      <c r="C489" t="str">
        <f>TEXT(F489, "mmmm")</f>
        <v>January</v>
      </c>
      <c r="D489" s="3">
        <f>MONTH(F489)</f>
        <v>1</v>
      </c>
      <c r="E489" s="3">
        <f>YEAR(F489)</f>
        <v>2023</v>
      </c>
      <c r="F489" s="2">
        <v>44942</v>
      </c>
      <c r="G489" s="3" t="s">
        <v>633</v>
      </c>
      <c r="H489" s="3" t="s">
        <v>198</v>
      </c>
      <c r="I489" s="3">
        <v>42</v>
      </c>
      <c r="J489" s="3"/>
      <c r="K489" s="3" t="s">
        <v>196</v>
      </c>
      <c r="L489" s="3">
        <v>4</v>
      </c>
      <c r="M489" s="4">
        <v>500</v>
      </c>
      <c r="N489">
        <f>L489 * M489</f>
        <v>2000</v>
      </c>
      <c r="O489" s="15">
        <f>N489 *$R$3</f>
        <v>30</v>
      </c>
    </row>
    <row r="490" spans="1:15" ht="15.75">
      <c r="A490" s="3">
        <v>29</v>
      </c>
      <c r="B490">
        <f>DAY(F490)</f>
        <v>18</v>
      </c>
      <c r="C490" t="str">
        <f>TEXT(F490, "mmmm")</f>
        <v>August</v>
      </c>
      <c r="D490" s="3">
        <f>MONTH(F490)</f>
        <v>8</v>
      </c>
      <c r="E490" s="3">
        <f>YEAR(F490)</f>
        <v>2023</v>
      </c>
      <c r="F490" s="2">
        <v>45156</v>
      </c>
      <c r="G490" s="3" t="s">
        <v>634</v>
      </c>
      <c r="H490" s="3" t="s">
        <v>198</v>
      </c>
      <c r="I490" s="3">
        <v>42</v>
      </c>
      <c r="J490" s="3"/>
      <c r="K490" s="3" t="s">
        <v>196</v>
      </c>
      <c r="L490" s="3">
        <v>1</v>
      </c>
      <c r="M490" s="4">
        <v>30</v>
      </c>
      <c r="N490">
        <f>L490 * M490</f>
        <v>30</v>
      </c>
      <c r="O490" s="15">
        <f>N490 *$R$3</f>
        <v>0.44999999999999996</v>
      </c>
    </row>
    <row r="491" spans="1:15" ht="15.75">
      <c r="A491" s="3">
        <v>132</v>
      </c>
      <c r="B491">
        <f>DAY(F491)</f>
        <v>10</v>
      </c>
      <c r="C491" t="str">
        <f>TEXT(F491, "mmmm")</f>
        <v>September</v>
      </c>
      <c r="D491" s="3">
        <f>MONTH(F491)</f>
        <v>9</v>
      </c>
      <c r="E491" s="3">
        <f>YEAR(F491)</f>
        <v>2023</v>
      </c>
      <c r="F491" s="2">
        <v>45179</v>
      </c>
      <c r="G491" s="3" t="s">
        <v>635</v>
      </c>
      <c r="H491" s="3" t="s">
        <v>18</v>
      </c>
      <c r="I491" s="3">
        <v>42</v>
      </c>
      <c r="J491" s="3"/>
      <c r="K491" s="3" t="s">
        <v>196</v>
      </c>
      <c r="L491" s="3">
        <v>4</v>
      </c>
      <c r="M491" s="4">
        <v>50</v>
      </c>
      <c r="N491">
        <f>L491 * M491</f>
        <v>200</v>
      </c>
      <c r="O491" s="15">
        <f>N491 *$R$3</f>
        <v>3</v>
      </c>
    </row>
    <row r="492" spans="1:15" ht="15.75">
      <c r="A492" s="3">
        <v>197</v>
      </c>
      <c r="B492">
        <f>DAY(F492)</f>
        <v>6</v>
      </c>
      <c r="C492" t="str">
        <f>TEXT(F492, "mmmm")</f>
        <v>March</v>
      </c>
      <c r="D492" s="3">
        <f>MONTH(F492)</f>
        <v>3</v>
      </c>
      <c r="E492" s="3">
        <f>YEAR(F492)</f>
        <v>2023</v>
      </c>
      <c r="F492" s="2">
        <v>44991</v>
      </c>
      <c r="G492" s="3" t="s">
        <v>636</v>
      </c>
      <c r="H492" s="3" t="s">
        <v>198</v>
      </c>
      <c r="I492" s="3">
        <v>42</v>
      </c>
      <c r="J492" s="3"/>
      <c r="K492" s="3" t="s">
        <v>195</v>
      </c>
      <c r="L492" s="3">
        <v>4</v>
      </c>
      <c r="M492" s="4">
        <v>50</v>
      </c>
      <c r="N492">
        <f>L492 * M492</f>
        <v>200</v>
      </c>
      <c r="O492" s="15">
        <f>N492 *$R$3</f>
        <v>3</v>
      </c>
    </row>
    <row r="493" spans="1:15" ht="15.75">
      <c r="A493" s="3">
        <v>207</v>
      </c>
      <c r="B493">
        <f>DAY(F493)</f>
        <v>19</v>
      </c>
      <c r="C493" t="str">
        <f>TEXT(F493, "mmmm")</f>
        <v>April</v>
      </c>
      <c r="D493" s="3">
        <f>MONTH(F493)</f>
        <v>4</v>
      </c>
      <c r="E493" s="3">
        <f>YEAR(F493)</f>
        <v>2023</v>
      </c>
      <c r="F493" s="2">
        <v>45035</v>
      </c>
      <c r="G493" s="3" t="s">
        <v>637</v>
      </c>
      <c r="H493" s="3" t="s">
        <v>198</v>
      </c>
      <c r="I493" s="3">
        <v>42</v>
      </c>
      <c r="J493" s="3"/>
      <c r="K493" s="3" t="s">
        <v>19</v>
      </c>
      <c r="L493" s="3">
        <v>2</v>
      </c>
      <c r="M493" s="4">
        <v>25</v>
      </c>
      <c r="N493">
        <f>L493 * M493</f>
        <v>50</v>
      </c>
      <c r="O493" s="15">
        <f>N493 *$R$3</f>
        <v>0.75</v>
      </c>
    </row>
    <row r="494" spans="1:15" ht="15.75">
      <c r="A494" s="3">
        <v>211</v>
      </c>
      <c r="B494">
        <f>DAY(F494)</f>
        <v>1</v>
      </c>
      <c r="C494" t="str">
        <f>TEXT(F494, "mmmm")</f>
        <v>January</v>
      </c>
      <c r="D494" s="3">
        <f>MONTH(F494)</f>
        <v>1</v>
      </c>
      <c r="E494" s="3">
        <f>YEAR(F494)</f>
        <v>2024</v>
      </c>
      <c r="F494" s="2">
        <v>45292</v>
      </c>
      <c r="G494" s="3" t="s">
        <v>160</v>
      </c>
      <c r="H494" s="3" t="s">
        <v>18</v>
      </c>
      <c r="I494" s="3">
        <v>42</v>
      </c>
      <c r="J494" s="3"/>
      <c r="K494" s="3" t="s">
        <v>19</v>
      </c>
      <c r="L494" s="3">
        <v>3</v>
      </c>
      <c r="M494" s="4">
        <v>500</v>
      </c>
      <c r="N494">
        <f>L494 * M494</f>
        <v>1500</v>
      </c>
      <c r="O494" s="15">
        <f>N494 *$R$3</f>
        <v>22.5</v>
      </c>
    </row>
    <row r="495" spans="1:15" ht="15.75">
      <c r="A495" s="3">
        <v>344</v>
      </c>
      <c r="B495">
        <f>DAY(F495)</f>
        <v>21</v>
      </c>
      <c r="C495" t="str">
        <f>TEXT(F495, "mmmm")</f>
        <v>January</v>
      </c>
      <c r="D495" s="3">
        <f>MONTH(F495)</f>
        <v>1</v>
      </c>
      <c r="E495" s="3">
        <f>YEAR(F495)</f>
        <v>2023</v>
      </c>
      <c r="F495" s="2">
        <v>44947</v>
      </c>
      <c r="G495" s="3" t="s">
        <v>638</v>
      </c>
      <c r="H495" s="3" t="s">
        <v>198</v>
      </c>
      <c r="I495" s="3">
        <v>42</v>
      </c>
      <c r="J495" s="3"/>
      <c r="K495" s="3" t="s">
        <v>19</v>
      </c>
      <c r="L495" s="3">
        <v>1</v>
      </c>
      <c r="M495" s="4">
        <v>30</v>
      </c>
      <c r="N495">
        <f>L495 * M495</f>
        <v>30</v>
      </c>
      <c r="O495" s="15">
        <f>N495 *$R$3</f>
        <v>0.44999999999999996</v>
      </c>
    </row>
    <row r="496" spans="1:15" ht="15.75">
      <c r="A496" s="3">
        <v>347</v>
      </c>
      <c r="B496">
        <f>DAY(F496)</f>
        <v>3</v>
      </c>
      <c r="C496" t="str">
        <f>TEXT(F496, "mmmm")</f>
        <v>August</v>
      </c>
      <c r="D496" s="3">
        <f>MONTH(F496)</f>
        <v>8</v>
      </c>
      <c r="E496" s="3">
        <f>YEAR(F496)</f>
        <v>2023</v>
      </c>
      <c r="F496" s="2">
        <v>45141</v>
      </c>
      <c r="G496" s="3" t="s">
        <v>639</v>
      </c>
      <c r="H496" s="3" t="s">
        <v>18</v>
      </c>
      <c r="I496" s="3">
        <v>42</v>
      </c>
      <c r="J496" s="3"/>
      <c r="K496" s="3" t="s">
        <v>196</v>
      </c>
      <c r="L496" s="3">
        <v>1</v>
      </c>
      <c r="M496" s="4">
        <v>25</v>
      </c>
      <c r="N496">
        <f>L496 * M496</f>
        <v>25</v>
      </c>
      <c r="O496" s="15">
        <f>N496 *$R$3</f>
        <v>0.375</v>
      </c>
    </row>
    <row r="497" spans="1:15" ht="15.75">
      <c r="A497" s="3">
        <v>360</v>
      </c>
      <c r="B497">
        <f>DAY(F497)</f>
        <v>9</v>
      </c>
      <c r="C497" t="str">
        <f>TEXT(F497, "mmmm")</f>
        <v>March</v>
      </c>
      <c r="D497" s="3">
        <f>MONTH(F497)</f>
        <v>3</v>
      </c>
      <c r="E497" s="3">
        <f>YEAR(F497)</f>
        <v>2023</v>
      </c>
      <c r="F497" s="2">
        <v>44994</v>
      </c>
      <c r="G497" s="3" t="s">
        <v>640</v>
      </c>
      <c r="H497" s="3" t="s">
        <v>18</v>
      </c>
      <c r="I497" s="3">
        <v>42</v>
      </c>
      <c r="J497" s="3"/>
      <c r="K497" s="3" t="s">
        <v>195</v>
      </c>
      <c r="L497" s="3">
        <v>4</v>
      </c>
      <c r="M497" s="4">
        <v>25</v>
      </c>
      <c r="N497">
        <f>L497 * M497</f>
        <v>100</v>
      </c>
      <c r="O497" s="15">
        <f>N497 *$R$3</f>
        <v>1.5</v>
      </c>
    </row>
    <row r="498" spans="1:15" ht="15.75">
      <c r="A498" s="3">
        <v>438</v>
      </c>
      <c r="B498">
        <f>DAY(F498)</f>
        <v>19</v>
      </c>
      <c r="C498" t="str">
        <f>TEXT(F498, "mmmm")</f>
        <v>January</v>
      </c>
      <c r="D498" s="3">
        <f>MONTH(F498)</f>
        <v>1</v>
      </c>
      <c r="E498" s="3">
        <f>YEAR(F498)</f>
        <v>2023</v>
      </c>
      <c r="F498" s="2">
        <v>44945</v>
      </c>
      <c r="G498" s="3" t="s">
        <v>641</v>
      </c>
      <c r="H498" s="3" t="s">
        <v>198</v>
      </c>
      <c r="I498" s="3">
        <v>42</v>
      </c>
      <c r="J498" s="3"/>
      <c r="K498" s="3" t="s">
        <v>195</v>
      </c>
      <c r="L498" s="3">
        <v>1</v>
      </c>
      <c r="M498" s="4">
        <v>30</v>
      </c>
      <c r="N498">
        <f>L498 * M498</f>
        <v>30</v>
      </c>
      <c r="O498" s="15">
        <f>N498 *$R$3</f>
        <v>0.44999999999999996</v>
      </c>
    </row>
    <row r="499" spans="1:15" ht="15.75">
      <c r="A499" s="3">
        <v>480</v>
      </c>
      <c r="B499">
        <f>DAY(F499)</f>
        <v>29</v>
      </c>
      <c r="C499" t="str">
        <f>TEXT(F499, "mmmm")</f>
        <v>June</v>
      </c>
      <c r="D499" s="3">
        <f>MONTH(F499)</f>
        <v>6</v>
      </c>
      <c r="E499" s="3">
        <f>YEAR(F499)</f>
        <v>2023</v>
      </c>
      <c r="F499" s="2">
        <v>45106</v>
      </c>
      <c r="G499" s="3" t="s">
        <v>642</v>
      </c>
      <c r="H499" s="3" t="s">
        <v>198</v>
      </c>
      <c r="I499" s="3">
        <v>42</v>
      </c>
      <c r="J499" s="3"/>
      <c r="K499" s="3" t="s">
        <v>19</v>
      </c>
      <c r="L499" s="3">
        <v>4</v>
      </c>
      <c r="M499" s="4">
        <v>500</v>
      </c>
      <c r="N499">
        <f>L499 * M499</f>
        <v>2000</v>
      </c>
      <c r="O499" s="15">
        <f>N499 *$R$3</f>
        <v>30</v>
      </c>
    </row>
    <row r="500" spans="1:15" ht="15.75">
      <c r="A500" s="3">
        <v>494</v>
      </c>
      <c r="B500">
        <f>DAY(F500)</f>
        <v>18</v>
      </c>
      <c r="C500" t="str">
        <f>TEXT(F500, "mmmm")</f>
        <v>September</v>
      </c>
      <c r="D500" s="3">
        <f>MONTH(F500)</f>
        <v>9</v>
      </c>
      <c r="E500" s="3">
        <f>YEAR(F500)</f>
        <v>2023</v>
      </c>
      <c r="F500" s="2">
        <v>45187</v>
      </c>
      <c r="G500" s="3" t="s">
        <v>643</v>
      </c>
      <c r="H500" s="3" t="s">
        <v>198</v>
      </c>
      <c r="I500" s="3">
        <v>42</v>
      </c>
      <c r="J500" s="3"/>
      <c r="K500" s="3" t="s">
        <v>19</v>
      </c>
      <c r="L500" s="3">
        <v>4</v>
      </c>
      <c r="M500" s="4">
        <v>50</v>
      </c>
      <c r="N500">
        <f>L500 * M500</f>
        <v>200</v>
      </c>
      <c r="O500" s="15">
        <f>N500 *$R$3</f>
        <v>3</v>
      </c>
    </row>
    <row r="501" spans="1:15" ht="15.75">
      <c r="A501" s="3">
        <v>630</v>
      </c>
      <c r="B501">
        <f>DAY(F501)</f>
        <v>15</v>
      </c>
      <c r="C501" t="str">
        <f>TEXT(F501, "mmmm")</f>
        <v>August</v>
      </c>
      <c r="D501" s="3">
        <f>MONTH(F501)</f>
        <v>8</v>
      </c>
      <c r="E501" s="3">
        <f>YEAR(F501)</f>
        <v>2023</v>
      </c>
      <c r="F501" s="2">
        <v>45153</v>
      </c>
      <c r="G501" s="3" t="s">
        <v>644</v>
      </c>
      <c r="H501" s="3" t="s">
        <v>18</v>
      </c>
      <c r="I501" s="3">
        <v>42</v>
      </c>
      <c r="J501" s="3"/>
      <c r="K501" s="3" t="s">
        <v>195</v>
      </c>
      <c r="L501" s="3">
        <v>2</v>
      </c>
      <c r="M501" s="4">
        <v>50</v>
      </c>
      <c r="N501">
        <f>L501 * M501</f>
        <v>100</v>
      </c>
      <c r="O501" s="15">
        <f>N501 *$R$3</f>
        <v>1.5</v>
      </c>
    </row>
    <row r="502" spans="1:15" ht="15.75">
      <c r="A502" s="3">
        <v>654</v>
      </c>
      <c r="B502">
        <f>DAY(F502)</f>
        <v>21</v>
      </c>
      <c r="C502" t="str">
        <f>TEXT(F502, "mmmm")</f>
        <v>June</v>
      </c>
      <c r="D502" s="3">
        <f>MONTH(F502)</f>
        <v>6</v>
      </c>
      <c r="E502" s="3">
        <f>YEAR(F502)</f>
        <v>2023</v>
      </c>
      <c r="F502" s="2">
        <v>45098</v>
      </c>
      <c r="G502" s="3" t="s">
        <v>645</v>
      </c>
      <c r="H502" s="3" t="s">
        <v>18</v>
      </c>
      <c r="I502" s="3">
        <v>42</v>
      </c>
      <c r="J502" s="3"/>
      <c r="K502" s="3" t="s">
        <v>195</v>
      </c>
      <c r="L502" s="3">
        <v>3</v>
      </c>
      <c r="M502" s="4">
        <v>25</v>
      </c>
      <c r="N502">
        <f>L502 * M502</f>
        <v>75</v>
      </c>
      <c r="O502" s="15">
        <f>N502 *$R$3</f>
        <v>1.125</v>
      </c>
    </row>
    <row r="503" spans="1:15" ht="15.75">
      <c r="A503" s="3">
        <v>715</v>
      </c>
      <c r="B503">
        <f>DAY(F503)</f>
        <v>26</v>
      </c>
      <c r="C503" t="str">
        <f>TEXT(F503, "mmmm")</f>
        <v>November</v>
      </c>
      <c r="D503" s="3">
        <f>MONTH(F503)</f>
        <v>11</v>
      </c>
      <c r="E503" s="3">
        <f>YEAR(F503)</f>
        <v>2023</v>
      </c>
      <c r="F503" s="2">
        <v>45256</v>
      </c>
      <c r="G503" s="3" t="s">
        <v>646</v>
      </c>
      <c r="H503" s="3" t="s">
        <v>198</v>
      </c>
      <c r="I503" s="3">
        <v>42</v>
      </c>
      <c r="J503" s="3"/>
      <c r="K503" s="3" t="s">
        <v>19</v>
      </c>
      <c r="L503" s="3">
        <v>4</v>
      </c>
      <c r="M503" s="4">
        <v>25</v>
      </c>
      <c r="N503">
        <f>L503 * M503</f>
        <v>100</v>
      </c>
      <c r="O503" s="15">
        <f>N503 *$R$3</f>
        <v>1.5</v>
      </c>
    </row>
    <row r="504" spans="1:15" ht="15.75">
      <c r="A504" s="3">
        <v>719</v>
      </c>
      <c r="B504">
        <f>DAY(F504)</f>
        <v>4</v>
      </c>
      <c r="C504" t="str">
        <f>TEXT(F504, "mmmm")</f>
        <v>April</v>
      </c>
      <c r="D504" s="3">
        <f>MONTH(F504)</f>
        <v>4</v>
      </c>
      <c r="E504" s="3">
        <f>YEAR(F504)</f>
        <v>2023</v>
      </c>
      <c r="F504" s="2">
        <v>45020</v>
      </c>
      <c r="G504" s="3" t="s">
        <v>647</v>
      </c>
      <c r="H504" s="3" t="s">
        <v>198</v>
      </c>
      <c r="I504" s="3">
        <v>42</v>
      </c>
      <c r="J504" s="3"/>
      <c r="K504" s="3" t="s">
        <v>195</v>
      </c>
      <c r="L504" s="3">
        <v>2</v>
      </c>
      <c r="M504" s="4">
        <v>30</v>
      </c>
      <c r="N504">
        <f>L504 * M504</f>
        <v>60</v>
      </c>
      <c r="O504" s="15">
        <f>N504 *$R$3</f>
        <v>0.89999999999999991</v>
      </c>
    </row>
    <row r="505" spans="1:15" ht="15.75">
      <c r="A505" s="3">
        <v>749</v>
      </c>
      <c r="B505">
        <f>DAY(F505)</f>
        <v>3</v>
      </c>
      <c r="C505" t="str">
        <f>TEXT(F505, "mmmm")</f>
        <v>May</v>
      </c>
      <c r="D505" s="3">
        <f>MONTH(F505)</f>
        <v>5</v>
      </c>
      <c r="E505" s="3">
        <f>YEAR(F505)</f>
        <v>2023</v>
      </c>
      <c r="F505" s="2">
        <v>45049</v>
      </c>
      <c r="G505" s="3" t="s">
        <v>37</v>
      </c>
      <c r="H505" s="3" t="s">
        <v>18</v>
      </c>
      <c r="I505" s="3">
        <v>42</v>
      </c>
      <c r="J505" s="3"/>
      <c r="K505" s="3" t="s">
        <v>19</v>
      </c>
      <c r="L505" s="3">
        <v>1</v>
      </c>
      <c r="M505" s="4">
        <v>30</v>
      </c>
      <c r="N505">
        <f>L505 * M505</f>
        <v>30</v>
      </c>
      <c r="O505" s="15">
        <f>N505 *$R$3</f>
        <v>0.44999999999999996</v>
      </c>
    </row>
    <row r="506" spans="1:15" ht="15.75">
      <c r="A506" s="3">
        <v>751</v>
      </c>
      <c r="B506">
        <f>DAY(F506)</f>
        <v>31</v>
      </c>
      <c r="C506" t="str">
        <f>TEXT(F506, "mmmm")</f>
        <v>August</v>
      </c>
      <c r="D506" s="3">
        <f>MONTH(F506)</f>
        <v>8</v>
      </c>
      <c r="E506" s="3">
        <f>YEAR(F506)</f>
        <v>2023</v>
      </c>
      <c r="F506" s="2">
        <v>45169</v>
      </c>
      <c r="G506" s="3" t="s">
        <v>648</v>
      </c>
      <c r="H506" s="3" t="s">
        <v>198</v>
      </c>
      <c r="I506" s="3">
        <v>42</v>
      </c>
      <c r="J506" s="3"/>
      <c r="K506" s="3" t="s">
        <v>195</v>
      </c>
      <c r="L506" s="3">
        <v>2</v>
      </c>
      <c r="M506" s="4">
        <v>25</v>
      </c>
      <c r="N506">
        <f>L506 * M506</f>
        <v>50</v>
      </c>
      <c r="O506" s="15">
        <f>N506 *$R$3</f>
        <v>0.75</v>
      </c>
    </row>
    <row r="507" spans="1:15" ht="15.75">
      <c r="A507" s="3">
        <v>804</v>
      </c>
      <c r="B507">
        <f>DAY(F507)</f>
        <v>24</v>
      </c>
      <c r="C507" t="str">
        <f>TEXT(F507, "mmmm")</f>
        <v>August</v>
      </c>
      <c r="D507" s="3">
        <f>MONTH(F507)</f>
        <v>8</v>
      </c>
      <c r="E507" s="3">
        <f>YEAR(F507)</f>
        <v>2023</v>
      </c>
      <c r="F507" s="2">
        <v>45162</v>
      </c>
      <c r="G507" s="3" t="s">
        <v>649</v>
      </c>
      <c r="H507" s="3" t="s">
        <v>18</v>
      </c>
      <c r="I507" s="3">
        <v>42</v>
      </c>
      <c r="J507" s="3"/>
      <c r="K507" s="3" t="s">
        <v>196</v>
      </c>
      <c r="L507" s="3">
        <v>1</v>
      </c>
      <c r="M507" s="4">
        <v>30</v>
      </c>
      <c r="N507">
        <f>L507 * M507</f>
        <v>30</v>
      </c>
      <c r="O507" s="15">
        <f>N507 *$R$3</f>
        <v>0.44999999999999996</v>
      </c>
    </row>
    <row r="508" spans="1:15" ht="15.75">
      <c r="A508" s="3">
        <v>833</v>
      </c>
      <c r="B508">
        <f>DAY(F508)</f>
        <v>16</v>
      </c>
      <c r="C508" t="str">
        <f>TEXT(F508, "mmmm")</f>
        <v>June</v>
      </c>
      <c r="D508" s="3">
        <f>MONTH(F508)</f>
        <v>6</v>
      </c>
      <c r="E508" s="3">
        <f>YEAR(F508)</f>
        <v>2023</v>
      </c>
      <c r="F508" s="2">
        <v>45093</v>
      </c>
      <c r="G508" s="3" t="s">
        <v>109</v>
      </c>
      <c r="H508" s="3" t="s">
        <v>18</v>
      </c>
      <c r="I508" s="3">
        <v>42</v>
      </c>
      <c r="J508" s="3"/>
      <c r="K508" s="3" t="s">
        <v>19</v>
      </c>
      <c r="L508" s="3">
        <v>4</v>
      </c>
      <c r="M508" s="4">
        <v>50</v>
      </c>
      <c r="N508">
        <f>L508 * M508</f>
        <v>200</v>
      </c>
      <c r="O508" s="15">
        <f>N508 *$R$3</f>
        <v>3</v>
      </c>
    </row>
    <row r="509" spans="1:15" ht="15.75">
      <c r="A509" s="3">
        <v>846</v>
      </c>
      <c r="B509">
        <f>DAY(F509)</f>
        <v>22</v>
      </c>
      <c r="C509" t="str">
        <f>TEXT(F509, "mmmm")</f>
        <v>September</v>
      </c>
      <c r="D509" s="3">
        <f>MONTH(F509)</f>
        <v>9</v>
      </c>
      <c r="E509" s="3">
        <f>YEAR(F509)</f>
        <v>2023</v>
      </c>
      <c r="F509" s="2">
        <v>45191</v>
      </c>
      <c r="G509" s="3" t="s">
        <v>43</v>
      </c>
      <c r="H509" s="3" t="s">
        <v>18</v>
      </c>
      <c r="I509" s="3">
        <v>42</v>
      </c>
      <c r="J509" s="3"/>
      <c r="K509" s="3" t="s">
        <v>19</v>
      </c>
      <c r="L509" s="3">
        <v>1</v>
      </c>
      <c r="M509" s="4">
        <v>50</v>
      </c>
      <c r="N509">
        <f>L509 * M509</f>
        <v>50</v>
      </c>
      <c r="O509" s="15">
        <f>N509 *$R$3</f>
        <v>0.75</v>
      </c>
    </row>
    <row r="510" spans="1:15" ht="15.75">
      <c r="A510" s="3">
        <v>865</v>
      </c>
      <c r="B510">
        <f>DAY(F510)</f>
        <v>21</v>
      </c>
      <c r="C510" t="str">
        <f>TEXT(F510, "mmmm")</f>
        <v>December</v>
      </c>
      <c r="D510" s="3">
        <f>MONTH(F510)</f>
        <v>12</v>
      </c>
      <c r="E510" s="3">
        <f>YEAR(F510)</f>
        <v>2023</v>
      </c>
      <c r="F510" s="2">
        <v>45281</v>
      </c>
      <c r="G510" s="3" t="s">
        <v>650</v>
      </c>
      <c r="H510" s="3" t="s">
        <v>198</v>
      </c>
      <c r="I510" s="3">
        <v>42</v>
      </c>
      <c r="J510" s="3"/>
      <c r="K510" s="3" t="s">
        <v>195</v>
      </c>
      <c r="L510" s="3">
        <v>1</v>
      </c>
      <c r="M510" s="4">
        <v>300</v>
      </c>
      <c r="N510">
        <f>L510 * M510</f>
        <v>300</v>
      </c>
      <c r="O510" s="15">
        <f>N510 *$R$3</f>
        <v>4.5</v>
      </c>
    </row>
    <row r="511" spans="1:15" ht="15.75">
      <c r="A511" s="3">
        <v>898</v>
      </c>
      <c r="B511">
        <f>DAY(F511)</f>
        <v>2</v>
      </c>
      <c r="C511" t="str">
        <f>TEXT(F511, "mmmm")</f>
        <v>November</v>
      </c>
      <c r="D511" s="3">
        <f>MONTH(F511)</f>
        <v>11</v>
      </c>
      <c r="E511" s="3">
        <f>YEAR(F511)</f>
        <v>2023</v>
      </c>
      <c r="F511" s="2">
        <v>45232</v>
      </c>
      <c r="G511" s="3" t="s">
        <v>651</v>
      </c>
      <c r="H511" s="3" t="s">
        <v>198</v>
      </c>
      <c r="I511" s="3">
        <v>42</v>
      </c>
      <c r="J511" s="3"/>
      <c r="K511" s="3" t="s">
        <v>195</v>
      </c>
      <c r="L511" s="3">
        <v>3</v>
      </c>
      <c r="M511" s="4">
        <v>30</v>
      </c>
      <c r="N511">
        <f>L511 * M511</f>
        <v>90</v>
      </c>
      <c r="O511" s="15">
        <f>N511 *$R$3</f>
        <v>1.3499999999999999</v>
      </c>
    </row>
    <row r="512" spans="1:15" ht="15.75">
      <c r="A512" s="3">
        <v>911</v>
      </c>
      <c r="B512">
        <f>DAY(F512)</f>
        <v>21</v>
      </c>
      <c r="C512" t="str">
        <f>TEXT(F512, "mmmm")</f>
        <v>May</v>
      </c>
      <c r="D512" s="3">
        <f>MONTH(F512)</f>
        <v>5</v>
      </c>
      <c r="E512" s="3">
        <f>YEAR(F512)</f>
        <v>2023</v>
      </c>
      <c r="F512" s="2">
        <v>45067</v>
      </c>
      <c r="G512" s="3" t="s">
        <v>652</v>
      </c>
      <c r="H512" s="3" t="s">
        <v>18</v>
      </c>
      <c r="I512" s="3">
        <v>42</v>
      </c>
      <c r="J512" s="3"/>
      <c r="K512" s="3" t="s">
        <v>196</v>
      </c>
      <c r="L512" s="3">
        <v>3</v>
      </c>
      <c r="M512" s="4">
        <v>300</v>
      </c>
      <c r="N512">
        <f>L512 * M512</f>
        <v>900</v>
      </c>
      <c r="O512" s="15">
        <f>N512 *$R$3</f>
        <v>13.5</v>
      </c>
    </row>
    <row r="513" spans="1:15" ht="15.75">
      <c r="A513" s="3">
        <v>918</v>
      </c>
      <c r="B513">
        <f>DAY(F513)</f>
        <v>23</v>
      </c>
      <c r="C513" t="str">
        <f>TEXT(F513, "mmmm")</f>
        <v>November</v>
      </c>
      <c r="D513" s="3">
        <f>MONTH(F513)</f>
        <v>11</v>
      </c>
      <c r="E513" s="3">
        <f>YEAR(F513)</f>
        <v>2023</v>
      </c>
      <c r="F513" s="2">
        <v>45253</v>
      </c>
      <c r="G513" s="3" t="s">
        <v>653</v>
      </c>
      <c r="H513" s="3" t="s">
        <v>198</v>
      </c>
      <c r="I513" s="3">
        <v>42</v>
      </c>
      <c r="J513" s="3"/>
      <c r="K513" s="3" t="s">
        <v>196</v>
      </c>
      <c r="L513" s="3">
        <v>3</v>
      </c>
      <c r="M513" s="4">
        <v>30</v>
      </c>
      <c r="N513">
        <f>L513 * M513</f>
        <v>90</v>
      </c>
      <c r="O513" s="15">
        <f>N513 *$R$3</f>
        <v>1.3499999999999999</v>
      </c>
    </row>
    <row r="514" spans="1:15" ht="15.75">
      <c r="A514" s="3">
        <v>959</v>
      </c>
      <c r="B514">
        <f>DAY(F514)</f>
        <v>29</v>
      </c>
      <c r="C514" t="str">
        <f>TEXT(F514, "mmmm")</f>
        <v>October</v>
      </c>
      <c r="D514" s="3">
        <f>MONTH(F514)</f>
        <v>10</v>
      </c>
      <c r="E514" s="3">
        <f>YEAR(F514)</f>
        <v>2023</v>
      </c>
      <c r="F514" s="2">
        <v>45228</v>
      </c>
      <c r="G514" s="3" t="s">
        <v>654</v>
      </c>
      <c r="H514" s="3" t="s">
        <v>198</v>
      </c>
      <c r="I514" s="3">
        <v>42</v>
      </c>
      <c r="J514" s="3"/>
      <c r="K514" s="3" t="s">
        <v>196</v>
      </c>
      <c r="L514" s="3">
        <v>2</v>
      </c>
      <c r="M514" s="4">
        <v>30</v>
      </c>
      <c r="N514">
        <f>L514 * M514</f>
        <v>60</v>
      </c>
      <c r="O514" s="15">
        <f>N514 *$R$3</f>
        <v>0.89999999999999991</v>
      </c>
    </row>
    <row r="515" spans="1:15" ht="15.75">
      <c r="A515" s="3">
        <v>100</v>
      </c>
      <c r="B515">
        <f>DAY(F515)</f>
        <v>16</v>
      </c>
      <c r="C515" t="str">
        <f>TEXT(F515, "mmmm")</f>
        <v>June</v>
      </c>
      <c r="D515" s="3">
        <f>MONTH(F515)</f>
        <v>6</v>
      </c>
      <c r="E515" s="3">
        <f>YEAR(F515)</f>
        <v>2023</v>
      </c>
      <c r="F515" s="2">
        <v>45093</v>
      </c>
      <c r="G515" s="3" t="s">
        <v>655</v>
      </c>
      <c r="H515" s="3" t="s">
        <v>18</v>
      </c>
      <c r="I515" s="3">
        <v>41</v>
      </c>
      <c r="J515" s="3"/>
      <c r="K515" s="3" t="s">
        <v>196</v>
      </c>
      <c r="L515" s="3">
        <v>1</v>
      </c>
      <c r="M515" s="4">
        <v>30</v>
      </c>
      <c r="N515">
        <f>L515 * M515</f>
        <v>30</v>
      </c>
      <c r="O515" s="15">
        <f>N515 *$R$3</f>
        <v>0.44999999999999996</v>
      </c>
    </row>
    <row r="516" spans="1:15" ht="15.75">
      <c r="A516" s="3">
        <v>113</v>
      </c>
      <c r="B516">
        <f>DAY(F516)</f>
        <v>13</v>
      </c>
      <c r="C516" t="str">
        <f>TEXT(F516, "mmmm")</f>
        <v>September</v>
      </c>
      <c r="D516" s="3">
        <f>MONTH(F516)</f>
        <v>9</v>
      </c>
      <c r="E516" s="3">
        <f>YEAR(F516)</f>
        <v>2023</v>
      </c>
      <c r="F516" s="2">
        <v>45182</v>
      </c>
      <c r="G516" s="3" t="s">
        <v>656</v>
      </c>
      <c r="H516" s="3" t="s">
        <v>198</v>
      </c>
      <c r="I516" s="3">
        <v>41</v>
      </c>
      <c r="J516" s="3"/>
      <c r="K516" s="3" t="s">
        <v>196</v>
      </c>
      <c r="L516" s="3">
        <v>2</v>
      </c>
      <c r="M516" s="4">
        <v>25</v>
      </c>
      <c r="N516">
        <f>L516 * M516</f>
        <v>50</v>
      </c>
      <c r="O516" s="15">
        <f>N516 *$R$3</f>
        <v>0.75</v>
      </c>
    </row>
    <row r="517" spans="1:15" ht="15.75">
      <c r="A517" s="3">
        <v>180</v>
      </c>
      <c r="B517">
        <f>DAY(F517)</f>
        <v>1</v>
      </c>
      <c r="C517" t="str">
        <f>TEXT(F517, "mmmm")</f>
        <v>January</v>
      </c>
      <c r="D517" s="3">
        <f>MONTH(F517)</f>
        <v>1</v>
      </c>
      <c r="E517" s="3">
        <f>YEAR(F517)</f>
        <v>2023</v>
      </c>
      <c r="F517" s="2">
        <v>44927</v>
      </c>
      <c r="G517" s="3" t="s">
        <v>657</v>
      </c>
      <c r="H517" s="3" t="s">
        <v>18</v>
      </c>
      <c r="I517" s="3">
        <v>41</v>
      </c>
      <c r="J517" s="3"/>
      <c r="K517" s="3" t="s">
        <v>195</v>
      </c>
      <c r="L517" s="3">
        <v>3</v>
      </c>
      <c r="M517" s="4">
        <v>300</v>
      </c>
      <c r="N517">
        <f>L517 * M517</f>
        <v>900</v>
      </c>
      <c r="O517" s="15">
        <f>N517 *$R$3</f>
        <v>13.5</v>
      </c>
    </row>
    <row r="518" spans="1:15" ht="15.75">
      <c r="A518" s="3">
        <v>247</v>
      </c>
      <c r="B518">
        <f>DAY(F518)</f>
        <v>4</v>
      </c>
      <c r="C518" t="str">
        <f>TEXT(F518, "mmmm")</f>
        <v>October</v>
      </c>
      <c r="D518" s="3">
        <f>MONTH(F518)</f>
        <v>10</v>
      </c>
      <c r="E518" s="3">
        <f>YEAR(F518)</f>
        <v>2023</v>
      </c>
      <c r="F518" s="2">
        <v>45203</v>
      </c>
      <c r="G518" s="3" t="s">
        <v>658</v>
      </c>
      <c r="H518" s="3" t="s">
        <v>18</v>
      </c>
      <c r="I518" s="3">
        <v>41</v>
      </c>
      <c r="J518" s="3"/>
      <c r="K518" s="3" t="s">
        <v>196</v>
      </c>
      <c r="L518" s="3">
        <v>2</v>
      </c>
      <c r="M518" s="4">
        <v>30</v>
      </c>
      <c r="N518">
        <f>L518 * M518</f>
        <v>60</v>
      </c>
      <c r="O518" s="15">
        <f>N518 *$R$3</f>
        <v>0.89999999999999991</v>
      </c>
    </row>
    <row r="519" spans="1:15" ht="15.75">
      <c r="A519" s="3">
        <v>254</v>
      </c>
      <c r="B519">
        <f>DAY(F519)</f>
        <v>28</v>
      </c>
      <c r="C519" t="str">
        <f>TEXT(F519, "mmmm")</f>
        <v>July</v>
      </c>
      <c r="D519" s="3">
        <f>MONTH(F519)</f>
        <v>7</v>
      </c>
      <c r="E519" s="3">
        <f>YEAR(F519)</f>
        <v>2023</v>
      </c>
      <c r="F519" s="2">
        <v>45135</v>
      </c>
      <c r="G519" s="3" t="s">
        <v>659</v>
      </c>
      <c r="H519" s="3" t="s">
        <v>18</v>
      </c>
      <c r="I519" s="3">
        <v>41</v>
      </c>
      <c r="J519" s="3"/>
      <c r="K519" s="3" t="s">
        <v>196</v>
      </c>
      <c r="L519" s="3">
        <v>1</v>
      </c>
      <c r="M519" s="4">
        <v>500</v>
      </c>
      <c r="N519">
        <f>L519 * M519</f>
        <v>500</v>
      </c>
      <c r="O519" s="15">
        <f>N519 *$R$3</f>
        <v>7.5</v>
      </c>
    </row>
    <row r="520" spans="1:15" ht="15.75">
      <c r="A520" s="3">
        <v>312</v>
      </c>
      <c r="B520">
        <f>DAY(F520)</f>
        <v>7</v>
      </c>
      <c r="C520" t="str">
        <f>TEXT(F520, "mmmm")</f>
        <v>September</v>
      </c>
      <c r="D520" s="3">
        <f>MONTH(F520)</f>
        <v>9</v>
      </c>
      <c r="E520" s="3">
        <f>YEAR(F520)</f>
        <v>2023</v>
      </c>
      <c r="F520" s="2">
        <v>45176</v>
      </c>
      <c r="G520" s="3" t="s">
        <v>660</v>
      </c>
      <c r="H520" s="3" t="s">
        <v>18</v>
      </c>
      <c r="I520" s="3">
        <v>41</v>
      </c>
      <c r="J520" s="3"/>
      <c r="K520" s="3" t="s">
        <v>195</v>
      </c>
      <c r="L520" s="3">
        <v>4</v>
      </c>
      <c r="M520" s="4">
        <v>30</v>
      </c>
      <c r="N520">
        <f>L520 * M520</f>
        <v>120</v>
      </c>
      <c r="O520" s="15">
        <f>N520 *$R$3</f>
        <v>1.7999999999999998</v>
      </c>
    </row>
    <row r="521" spans="1:15" ht="15.75">
      <c r="A521" s="3">
        <v>402</v>
      </c>
      <c r="B521">
        <f>DAY(F521)</f>
        <v>21</v>
      </c>
      <c r="C521" t="str">
        <f>TEXT(F521, "mmmm")</f>
        <v>March</v>
      </c>
      <c r="D521" s="3">
        <f>MONTH(F521)</f>
        <v>3</v>
      </c>
      <c r="E521" s="3">
        <f>YEAR(F521)</f>
        <v>2023</v>
      </c>
      <c r="F521" s="2">
        <v>45006</v>
      </c>
      <c r="G521" s="3" t="s">
        <v>661</v>
      </c>
      <c r="H521" s="3" t="s">
        <v>198</v>
      </c>
      <c r="I521" s="3">
        <v>41</v>
      </c>
      <c r="J521" s="3"/>
      <c r="K521" s="3" t="s">
        <v>195</v>
      </c>
      <c r="L521" s="3">
        <v>2</v>
      </c>
      <c r="M521" s="4">
        <v>300</v>
      </c>
      <c r="N521">
        <f>L521 * M521</f>
        <v>600</v>
      </c>
      <c r="O521" s="15">
        <f>N521 *$R$3</f>
        <v>9</v>
      </c>
    </row>
    <row r="522" spans="1:15" ht="15.75">
      <c r="A522" s="3">
        <v>493</v>
      </c>
      <c r="B522">
        <f>DAY(F522)</f>
        <v>25</v>
      </c>
      <c r="C522" t="str">
        <f>TEXT(F522, "mmmm")</f>
        <v>November</v>
      </c>
      <c r="D522" s="3">
        <f>MONTH(F522)</f>
        <v>11</v>
      </c>
      <c r="E522" s="3">
        <f>YEAR(F522)</f>
        <v>2023</v>
      </c>
      <c r="F522" s="2">
        <v>45255</v>
      </c>
      <c r="G522" s="3" t="s">
        <v>48</v>
      </c>
      <c r="H522" s="3" t="s">
        <v>18</v>
      </c>
      <c r="I522" s="3">
        <v>41</v>
      </c>
      <c r="J522" s="3"/>
      <c r="K522" s="3" t="s">
        <v>19</v>
      </c>
      <c r="L522" s="3">
        <v>2</v>
      </c>
      <c r="M522" s="4">
        <v>25</v>
      </c>
      <c r="N522">
        <f>L522 * M522</f>
        <v>50</v>
      </c>
      <c r="O522" s="15">
        <f>N522 *$R$3</f>
        <v>0.75</v>
      </c>
    </row>
    <row r="523" spans="1:15" ht="15.75">
      <c r="A523" s="3">
        <v>497</v>
      </c>
      <c r="B523">
        <f>DAY(F523)</f>
        <v>2</v>
      </c>
      <c r="C523" t="str">
        <f>TEXT(F523, "mmmm")</f>
        <v>October</v>
      </c>
      <c r="D523" s="3">
        <f>MONTH(F523)</f>
        <v>10</v>
      </c>
      <c r="E523" s="3">
        <f>YEAR(F523)</f>
        <v>2023</v>
      </c>
      <c r="F523" s="2">
        <v>45201</v>
      </c>
      <c r="G523" s="3" t="s">
        <v>662</v>
      </c>
      <c r="H523" s="3" t="s">
        <v>18</v>
      </c>
      <c r="I523" s="3">
        <v>41</v>
      </c>
      <c r="J523" s="3"/>
      <c r="K523" s="3" t="s">
        <v>195</v>
      </c>
      <c r="L523" s="3">
        <v>4</v>
      </c>
      <c r="M523" s="4">
        <v>30</v>
      </c>
      <c r="N523">
        <f>L523 * M523</f>
        <v>120</v>
      </c>
      <c r="O523" s="15">
        <f>N523 *$R$3</f>
        <v>1.7999999999999998</v>
      </c>
    </row>
    <row r="524" spans="1:15" ht="15.75">
      <c r="A524" s="3">
        <v>558</v>
      </c>
      <c r="B524">
        <f>DAY(F524)</f>
        <v>8</v>
      </c>
      <c r="C524" t="str">
        <f>TEXT(F524, "mmmm")</f>
        <v>October</v>
      </c>
      <c r="D524" s="3">
        <f>MONTH(F524)</f>
        <v>10</v>
      </c>
      <c r="E524" s="3">
        <f>YEAR(F524)</f>
        <v>2023</v>
      </c>
      <c r="F524" s="2">
        <v>45207</v>
      </c>
      <c r="G524" s="3" t="s">
        <v>663</v>
      </c>
      <c r="H524" s="3" t="s">
        <v>198</v>
      </c>
      <c r="I524" s="3">
        <v>41</v>
      </c>
      <c r="J524" s="3"/>
      <c r="K524" s="3" t="s">
        <v>195</v>
      </c>
      <c r="L524" s="3">
        <v>1</v>
      </c>
      <c r="M524" s="4">
        <v>25</v>
      </c>
      <c r="N524">
        <f>L524 * M524</f>
        <v>25</v>
      </c>
      <c r="O524" s="15">
        <f>N524 *$R$3</f>
        <v>0.375</v>
      </c>
    </row>
    <row r="525" spans="1:15" ht="15.75">
      <c r="A525" s="3">
        <v>571</v>
      </c>
      <c r="B525">
        <f>DAY(F525)</f>
        <v>12</v>
      </c>
      <c r="C525" t="str">
        <f>TEXT(F525, "mmmm")</f>
        <v>December</v>
      </c>
      <c r="D525" s="3">
        <f>MONTH(F525)</f>
        <v>12</v>
      </c>
      <c r="E525" s="3">
        <f>YEAR(F525)</f>
        <v>2023</v>
      </c>
      <c r="F525" s="2">
        <v>45272</v>
      </c>
      <c r="G525" s="3" t="s">
        <v>664</v>
      </c>
      <c r="H525" s="3" t="s">
        <v>198</v>
      </c>
      <c r="I525" s="3">
        <v>41</v>
      </c>
      <c r="J525" s="3"/>
      <c r="K525" s="3" t="s">
        <v>196</v>
      </c>
      <c r="L525" s="3">
        <v>1</v>
      </c>
      <c r="M525" s="4">
        <v>50</v>
      </c>
      <c r="N525">
        <f>L525 * M525</f>
        <v>50</v>
      </c>
      <c r="O525" s="15">
        <f>N525 *$R$3</f>
        <v>0.75</v>
      </c>
    </row>
    <row r="526" spans="1:15" ht="15.75">
      <c r="A526" s="3">
        <v>616</v>
      </c>
      <c r="B526">
        <f>DAY(F526)</f>
        <v>23</v>
      </c>
      <c r="C526" t="str">
        <f>TEXT(F526, "mmmm")</f>
        <v>September</v>
      </c>
      <c r="D526" s="3">
        <f>MONTH(F526)</f>
        <v>9</v>
      </c>
      <c r="E526" s="3">
        <f>YEAR(F526)</f>
        <v>2023</v>
      </c>
      <c r="F526" s="2">
        <v>45192</v>
      </c>
      <c r="G526" s="3" t="s">
        <v>665</v>
      </c>
      <c r="H526" s="3" t="s">
        <v>18</v>
      </c>
      <c r="I526" s="3">
        <v>41</v>
      </c>
      <c r="J526" s="3"/>
      <c r="K526" s="3" t="s">
        <v>195</v>
      </c>
      <c r="L526" s="3">
        <v>2</v>
      </c>
      <c r="M526" s="4">
        <v>50</v>
      </c>
      <c r="N526">
        <f>L526 * M526</f>
        <v>100</v>
      </c>
      <c r="O526" s="15">
        <f>N526 *$R$3</f>
        <v>1.5</v>
      </c>
    </row>
    <row r="527" spans="1:15" ht="15.75">
      <c r="A527" s="3">
        <v>693</v>
      </c>
      <c r="B527">
        <f>DAY(F527)</f>
        <v>23</v>
      </c>
      <c r="C527" t="str">
        <f>TEXT(F527, "mmmm")</f>
        <v>April</v>
      </c>
      <c r="D527" s="3">
        <f>MONTH(F527)</f>
        <v>4</v>
      </c>
      <c r="E527" s="3">
        <f>YEAR(F527)</f>
        <v>2023</v>
      </c>
      <c r="F527" s="2">
        <v>45039</v>
      </c>
      <c r="G527" s="3" t="s">
        <v>155</v>
      </c>
      <c r="H527" s="3" t="s">
        <v>18</v>
      </c>
      <c r="I527" s="3">
        <v>41</v>
      </c>
      <c r="J527" s="3"/>
      <c r="K527" s="3" t="s">
        <v>19</v>
      </c>
      <c r="L527" s="3">
        <v>3</v>
      </c>
      <c r="M527" s="4">
        <v>500</v>
      </c>
      <c r="N527">
        <f>L527 * M527</f>
        <v>1500</v>
      </c>
      <c r="O527" s="15">
        <f>N527 *$R$3</f>
        <v>22.5</v>
      </c>
    </row>
    <row r="528" spans="1:15" ht="15.75">
      <c r="A528" s="3">
        <v>738</v>
      </c>
      <c r="B528">
        <f>DAY(F528)</f>
        <v>25</v>
      </c>
      <c r="C528" t="str">
        <f>TEXT(F528, "mmmm")</f>
        <v>April</v>
      </c>
      <c r="D528" s="3">
        <f>MONTH(F528)</f>
        <v>4</v>
      </c>
      <c r="E528" s="3">
        <f>YEAR(F528)</f>
        <v>2023</v>
      </c>
      <c r="F528" s="2">
        <v>45041</v>
      </c>
      <c r="G528" s="3" t="s">
        <v>666</v>
      </c>
      <c r="H528" s="3" t="s">
        <v>18</v>
      </c>
      <c r="I528" s="3">
        <v>41</v>
      </c>
      <c r="J528" s="3"/>
      <c r="K528" s="3" t="s">
        <v>195</v>
      </c>
      <c r="L528" s="3">
        <v>2</v>
      </c>
      <c r="M528" s="4">
        <v>50</v>
      </c>
      <c r="N528">
        <f>L528 * M528</f>
        <v>100</v>
      </c>
      <c r="O528" s="15">
        <f>N528 *$R$3</f>
        <v>1.5</v>
      </c>
    </row>
    <row r="529" spans="1:15" ht="15.75">
      <c r="A529" s="3">
        <v>787</v>
      </c>
      <c r="B529">
        <f>DAY(F529)</f>
        <v>22</v>
      </c>
      <c r="C529" t="str">
        <f>TEXT(F529, "mmmm")</f>
        <v>January</v>
      </c>
      <c r="D529" s="3">
        <f>MONTH(F529)</f>
        <v>1</v>
      </c>
      <c r="E529" s="3">
        <f>YEAR(F529)</f>
        <v>2023</v>
      </c>
      <c r="F529" s="2">
        <v>44948</v>
      </c>
      <c r="G529" s="3" t="s">
        <v>667</v>
      </c>
      <c r="H529" s="3" t="s">
        <v>18</v>
      </c>
      <c r="I529" s="3">
        <v>41</v>
      </c>
      <c r="J529" s="3"/>
      <c r="K529" s="3" t="s">
        <v>196</v>
      </c>
      <c r="L529" s="3">
        <v>1</v>
      </c>
      <c r="M529" s="4">
        <v>25</v>
      </c>
      <c r="N529">
        <f>L529 * M529</f>
        <v>25</v>
      </c>
      <c r="O529" s="15">
        <f>N529 *$R$3</f>
        <v>0.375</v>
      </c>
    </row>
    <row r="530" spans="1:15" ht="15.75">
      <c r="A530" s="3">
        <v>852</v>
      </c>
      <c r="B530">
        <f>DAY(F530)</f>
        <v>12</v>
      </c>
      <c r="C530" t="str">
        <f>TEXT(F530, "mmmm")</f>
        <v>October</v>
      </c>
      <c r="D530" s="3">
        <f>MONTH(F530)</f>
        <v>10</v>
      </c>
      <c r="E530" s="3">
        <f>YEAR(F530)</f>
        <v>2023</v>
      </c>
      <c r="F530" s="2">
        <v>45211</v>
      </c>
      <c r="G530" s="3" t="s">
        <v>668</v>
      </c>
      <c r="H530" s="3" t="s">
        <v>198</v>
      </c>
      <c r="I530" s="3">
        <v>41</v>
      </c>
      <c r="J530" s="3"/>
      <c r="K530" s="3" t="s">
        <v>195</v>
      </c>
      <c r="L530" s="3">
        <v>1</v>
      </c>
      <c r="M530" s="4">
        <v>300</v>
      </c>
      <c r="N530">
        <f>L530 * M530</f>
        <v>300</v>
      </c>
      <c r="O530" s="15">
        <f>N530 *$R$3</f>
        <v>4.5</v>
      </c>
    </row>
    <row r="531" spans="1:15" ht="15.75">
      <c r="A531" s="3">
        <v>861</v>
      </c>
      <c r="B531">
        <f>DAY(F531)</f>
        <v>17</v>
      </c>
      <c r="C531" t="str">
        <f>TEXT(F531, "mmmm")</f>
        <v>February</v>
      </c>
      <c r="D531" s="3">
        <f>MONTH(F531)</f>
        <v>2</v>
      </c>
      <c r="E531" s="3">
        <f>YEAR(F531)</f>
        <v>2023</v>
      </c>
      <c r="F531" s="2">
        <v>44974</v>
      </c>
      <c r="G531" s="3" t="s">
        <v>669</v>
      </c>
      <c r="H531" s="3" t="s">
        <v>198</v>
      </c>
      <c r="I531" s="3">
        <v>41</v>
      </c>
      <c r="J531" s="3"/>
      <c r="K531" s="3" t="s">
        <v>195</v>
      </c>
      <c r="L531" s="3">
        <v>3</v>
      </c>
      <c r="M531" s="4">
        <v>30</v>
      </c>
      <c r="N531">
        <f>L531 * M531</f>
        <v>90</v>
      </c>
      <c r="O531" s="15">
        <f>N531 *$R$3</f>
        <v>1.3499999999999999</v>
      </c>
    </row>
    <row r="532" spans="1:15" ht="15.75">
      <c r="A532" s="3">
        <v>891</v>
      </c>
      <c r="B532">
        <f>DAY(F532)</f>
        <v>5</v>
      </c>
      <c r="C532" t="str">
        <f>TEXT(F532, "mmmm")</f>
        <v>April</v>
      </c>
      <c r="D532" s="3">
        <f>MONTH(F532)</f>
        <v>4</v>
      </c>
      <c r="E532" s="3">
        <f>YEAR(F532)</f>
        <v>2023</v>
      </c>
      <c r="F532" s="2">
        <v>45021</v>
      </c>
      <c r="G532" s="3" t="s">
        <v>670</v>
      </c>
      <c r="H532" s="3" t="s">
        <v>18</v>
      </c>
      <c r="I532" s="3">
        <v>41</v>
      </c>
      <c r="J532" s="3"/>
      <c r="K532" s="3" t="s">
        <v>196</v>
      </c>
      <c r="L532" s="3">
        <v>3</v>
      </c>
      <c r="M532" s="4">
        <v>300</v>
      </c>
      <c r="N532">
        <f>L532 * M532</f>
        <v>900</v>
      </c>
      <c r="O532" s="15">
        <f>N532 *$R$3</f>
        <v>13.5</v>
      </c>
    </row>
    <row r="533" spans="1:15" ht="15.75">
      <c r="A533" s="3">
        <v>922</v>
      </c>
      <c r="B533">
        <f>DAY(F533)</f>
        <v>21</v>
      </c>
      <c r="C533" t="str">
        <f>TEXT(F533, "mmmm")</f>
        <v>October</v>
      </c>
      <c r="D533" s="3">
        <f>MONTH(F533)</f>
        <v>10</v>
      </c>
      <c r="E533" s="3">
        <f>YEAR(F533)</f>
        <v>2023</v>
      </c>
      <c r="F533" s="2">
        <v>45220</v>
      </c>
      <c r="G533" s="3" t="s">
        <v>671</v>
      </c>
      <c r="H533" s="3" t="s">
        <v>18</v>
      </c>
      <c r="I533" s="3">
        <v>41</v>
      </c>
      <c r="J533" s="3"/>
      <c r="K533" s="3" t="s">
        <v>196</v>
      </c>
      <c r="L533" s="3">
        <v>1</v>
      </c>
      <c r="M533" s="4">
        <v>50</v>
      </c>
      <c r="N533">
        <f>L533 * M533</f>
        <v>50</v>
      </c>
      <c r="O533" s="15">
        <f>N533 *$R$3</f>
        <v>0.75</v>
      </c>
    </row>
    <row r="534" spans="1:15" ht="15.75">
      <c r="A534" s="3">
        <v>949</v>
      </c>
      <c r="B534">
        <f>DAY(F534)</f>
        <v>2</v>
      </c>
      <c r="C534" t="str">
        <f>TEXT(F534, "mmmm")</f>
        <v>August</v>
      </c>
      <c r="D534" s="3">
        <f>MONTH(F534)</f>
        <v>8</v>
      </c>
      <c r="E534" s="3">
        <f>YEAR(F534)</f>
        <v>2023</v>
      </c>
      <c r="F534" s="2">
        <v>45140</v>
      </c>
      <c r="G534" s="3" t="s">
        <v>672</v>
      </c>
      <c r="H534" s="3" t="s">
        <v>198</v>
      </c>
      <c r="I534" s="3">
        <v>41</v>
      </c>
      <c r="J534" s="3"/>
      <c r="K534" s="3" t="s">
        <v>196</v>
      </c>
      <c r="L534" s="3">
        <v>2</v>
      </c>
      <c r="M534" s="4">
        <v>25</v>
      </c>
      <c r="N534">
        <f>L534 * M534</f>
        <v>50</v>
      </c>
      <c r="O534" s="15">
        <f>N534 *$R$3</f>
        <v>0.75</v>
      </c>
    </row>
    <row r="535" spans="1:15" ht="15.75">
      <c r="A535" s="3">
        <v>995</v>
      </c>
      <c r="B535">
        <f>DAY(F535)</f>
        <v>30</v>
      </c>
      <c r="C535" t="str">
        <f>TEXT(F535, "mmmm")</f>
        <v>April</v>
      </c>
      <c r="D535" s="3">
        <f>MONTH(F535)</f>
        <v>4</v>
      </c>
      <c r="E535" s="3">
        <f>YEAR(F535)</f>
        <v>2023</v>
      </c>
      <c r="F535" s="2">
        <v>45046</v>
      </c>
      <c r="G535" s="3" t="s">
        <v>673</v>
      </c>
      <c r="H535" s="3" t="s">
        <v>198</v>
      </c>
      <c r="I535" s="3">
        <v>41</v>
      </c>
      <c r="J535" s="3"/>
      <c r="K535" s="3" t="s">
        <v>195</v>
      </c>
      <c r="L535" s="3">
        <v>1</v>
      </c>
      <c r="M535" s="4">
        <v>30</v>
      </c>
      <c r="N535">
        <f>L535 * M535</f>
        <v>30</v>
      </c>
      <c r="O535" s="15">
        <f>N535 *$R$3</f>
        <v>0.44999999999999996</v>
      </c>
    </row>
    <row r="536" spans="1:15" ht="15.75">
      <c r="A536" s="3">
        <v>47</v>
      </c>
      <c r="B536">
        <f>DAY(F536)</f>
        <v>6</v>
      </c>
      <c r="C536" t="str">
        <f>TEXT(F536, "mmmm")</f>
        <v>November</v>
      </c>
      <c r="D536" s="3">
        <f>MONTH(F536)</f>
        <v>11</v>
      </c>
      <c r="E536" s="3">
        <f>YEAR(F536)</f>
        <v>2023</v>
      </c>
      <c r="F536" s="2">
        <v>45236</v>
      </c>
      <c r="G536" s="3" t="s">
        <v>674</v>
      </c>
      <c r="H536" s="3" t="s">
        <v>198</v>
      </c>
      <c r="I536" s="3">
        <v>40</v>
      </c>
      <c r="J536" s="3"/>
      <c r="K536" s="3" t="s">
        <v>19</v>
      </c>
      <c r="L536" s="3">
        <v>3</v>
      </c>
      <c r="M536" s="4">
        <v>500</v>
      </c>
      <c r="N536">
        <f>L536 * M536</f>
        <v>1500</v>
      </c>
      <c r="O536" s="15">
        <f>N536 *$R$3</f>
        <v>22.5</v>
      </c>
    </row>
    <row r="537" spans="1:15" ht="15.75">
      <c r="A537" s="3">
        <v>81</v>
      </c>
      <c r="B537">
        <f>DAY(F537)</f>
        <v>17</v>
      </c>
      <c r="C537" t="str">
        <f>TEXT(F537, "mmmm")</f>
        <v>May</v>
      </c>
      <c r="D537" s="3">
        <f>MONTH(F537)</f>
        <v>5</v>
      </c>
      <c r="E537" s="3">
        <f>YEAR(F537)</f>
        <v>2023</v>
      </c>
      <c r="F537" s="2">
        <v>45063</v>
      </c>
      <c r="G537" s="3" t="s">
        <v>675</v>
      </c>
      <c r="H537" s="3" t="s">
        <v>18</v>
      </c>
      <c r="I537" s="3">
        <v>40</v>
      </c>
      <c r="J537" s="3"/>
      <c r="K537" s="3" t="s">
        <v>196</v>
      </c>
      <c r="L537" s="3">
        <v>1</v>
      </c>
      <c r="M537" s="4">
        <v>50</v>
      </c>
      <c r="N537">
        <f>L537 * M537</f>
        <v>50</v>
      </c>
      <c r="O537" s="15">
        <f>N537 *$R$3</f>
        <v>0.75</v>
      </c>
    </row>
    <row r="538" spans="1:15" ht="15.75">
      <c r="A538" s="3">
        <v>123</v>
      </c>
      <c r="B538">
        <f>DAY(F538)</f>
        <v>15</v>
      </c>
      <c r="C538" t="str">
        <f>TEXT(F538, "mmmm")</f>
        <v>May</v>
      </c>
      <c r="D538" s="3">
        <f>MONTH(F538)</f>
        <v>5</v>
      </c>
      <c r="E538" s="3">
        <f>YEAR(F538)</f>
        <v>2023</v>
      </c>
      <c r="F538" s="2">
        <v>45061</v>
      </c>
      <c r="G538" s="3" t="s">
        <v>676</v>
      </c>
      <c r="H538" s="3" t="s">
        <v>198</v>
      </c>
      <c r="I538" s="3">
        <v>40</v>
      </c>
      <c r="J538" s="3"/>
      <c r="K538" s="3" t="s">
        <v>196</v>
      </c>
      <c r="L538" s="3">
        <v>2</v>
      </c>
      <c r="M538" s="4">
        <v>30</v>
      </c>
      <c r="N538">
        <f>L538 * M538</f>
        <v>60</v>
      </c>
      <c r="O538" s="15">
        <f>N538 *$R$3</f>
        <v>0.89999999999999991</v>
      </c>
    </row>
    <row r="539" spans="1:15" ht="15.75">
      <c r="A539" s="3">
        <v>178</v>
      </c>
      <c r="B539">
        <f>DAY(F539)</f>
        <v>4</v>
      </c>
      <c r="C539" t="str">
        <f>TEXT(F539, "mmmm")</f>
        <v>October</v>
      </c>
      <c r="D539" s="3">
        <f>MONTH(F539)</f>
        <v>10</v>
      </c>
      <c r="E539" s="3">
        <f>YEAR(F539)</f>
        <v>2023</v>
      </c>
      <c r="F539" s="2">
        <v>45203</v>
      </c>
      <c r="G539" s="3" t="s">
        <v>677</v>
      </c>
      <c r="H539" s="3" t="s">
        <v>18</v>
      </c>
      <c r="I539" s="3">
        <v>40</v>
      </c>
      <c r="J539" s="3"/>
      <c r="K539" s="3" t="s">
        <v>195</v>
      </c>
      <c r="L539" s="3">
        <v>2</v>
      </c>
      <c r="M539" s="4">
        <v>30</v>
      </c>
      <c r="N539">
        <f>L539 * M539</f>
        <v>60</v>
      </c>
      <c r="O539" s="15">
        <f>N539 *$R$3</f>
        <v>0.89999999999999991</v>
      </c>
    </row>
    <row r="540" spans="1:15" ht="15.75">
      <c r="A540" s="3">
        <v>188</v>
      </c>
      <c r="B540">
        <f>DAY(F540)</f>
        <v>3</v>
      </c>
      <c r="C540" t="str">
        <f>TEXT(F540, "mmmm")</f>
        <v>May</v>
      </c>
      <c r="D540" s="3">
        <f>MONTH(F540)</f>
        <v>5</v>
      </c>
      <c r="E540" s="3">
        <f>YEAR(F540)</f>
        <v>2023</v>
      </c>
      <c r="F540" s="2">
        <v>45049</v>
      </c>
      <c r="G540" s="3" t="s">
        <v>678</v>
      </c>
      <c r="H540" s="3" t="s">
        <v>18</v>
      </c>
      <c r="I540" s="3">
        <v>40</v>
      </c>
      <c r="J540" s="3"/>
      <c r="K540" s="3" t="s">
        <v>195</v>
      </c>
      <c r="L540" s="3">
        <v>3</v>
      </c>
      <c r="M540" s="4">
        <v>25</v>
      </c>
      <c r="N540">
        <f>L540 * M540</f>
        <v>75</v>
      </c>
      <c r="O540" s="15">
        <f>N540 *$R$3</f>
        <v>1.125</v>
      </c>
    </row>
    <row r="541" spans="1:15" ht="15.75">
      <c r="A541" s="3">
        <v>297</v>
      </c>
      <c r="B541">
        <f>DAY(F541)</f>
        <v>4</v>
      </c>
      <c r="C541" t="str">
        <f>TEXT(F541, "mmmm")</f>
        <v>September</v>
      </c>
      <c r="D541" s="3">
        <f>MONTH(F541)</f>
        <v>9</v>
      </c>
      <c r="E541" s="3">
        <f>YEAR(F541)</f>
        <v>2023</v>
      </c>
      <c r="F541" s="2">
        <v>45173</v>
      </c>
      <c r="G541" s="3" t="s">
        <v>679</v>
      </c>
      <c r="H541" s="3" t="s">
        <v>198</v>
      </c>
      <c r="I541" s="3">
        <v>40</v>
      </c>
      <c r="J541" s="3"/>
      <c r="K541" s="3" t="s">
        <v>196</v>
      </c>
      <c r="L541" s="3">
        <v>2</v>
      </c>
      <c r="M541" s="4">
        <v>500</v>
      </c>
      <c r="N541">
        <f>L541 * M541</f>
        <v>1000</v>
      </c>
      <c r="O541" s="15">
        <f>N541 *$R$3</f>
        <v>15</v>
      </c>
    </row>
    <row r="542" spans="1:15" ht="15.75">
      <c r="A542" s="3">
        <v>357</v>
      </c>
      <c r="B542">
        <f>DAY(F542)</f>
        <v>3</v>
      </c>
      <c r="C542" t="str">
        <f>TEXT(F542, "mmmm")</f>
        <v>May</v>
      </c>
      <c r="D542" s="3">
        <f>MONTH(F542)</f>
        <v>5</v>
      </c>
      <c r="E542" s="3">
        <f>YEAR(F542)</f>
        <v>2023</v>
      </c>
      <c r="F542" s="2">
        <v>45049</v>
      </c>
      <c r="G542" s="3" t="s">
        <v>680</v>
      </c>
      <c r="H542" s="3" t="s">
        <v>198</v>
      </c>
      <c r="I542" s="3">
        <v>40</v>
      </c>
      <c r="J542" s="3"/>
      <c r="K542" s="3" t="s">
        <v>196</v>
      </c>
      <c r="L542" s="3">
        <v>3</v>
      </c>
      <c r="M542" s="4">
        <v>25</v>
      </c>
      <c r="N542">
        <f>L542 * M542</f>
        <v>75</v>
      </c>
      <c r="O542" s="15">
        <f>N542 *$R$3</f>
        <v>1.125</v>
      </c>
    </row>
    <row r="543" spans="1:15" ht="15.75">
      <c r="A543" s="3">
        <v>428</v>
      </c>
      <c r="B543">
        <f>DAY(F543)</f>
        <v>10</v>
      </c>
      <c r="C543" t="str">
        <f>TEXT(F543, "mmmm")</f>
        <v>October</v>
      </c>
      <c r="D543" s="3">
        <f>MONTH(F543)</f>
        <v>10</v>
      </c>
      <c r="E543" s="3">
        <f>YEAR(F543)</f>
        <v>2023</v>
      </c>
      <c r="F543" s="2">
        <v>45209</v>
      </c>
      <c r="G543" s="3" t="s">
        <v>681</v>
      </c>
      <c r="H543" s="3" t="s">
        <v>198</v>
      </c>
      <c r="I543" s="3">
        <v>40</v>
      </c>
      <c r="J543" s="3"/>
      <c r="K543" s="3" t="s">
        <v>196</v>
      </c>
      <c r="L543" s="3">
        <v>4</v>
      </c>
      <c r="M543" s="4">
        <v>50</v>
      </c>
      <c r="N543">
        <f>L543 * M543</f>
        <v>200</v>
      </c>
      <c r="O543" s="15">
        <f>N543 *$R$3</f>
        <v>3</v>
      </c>
    </row>
    <row r="544" spans="1:15" ht="15.75">
      <c r="A544" s="3">
        <v>460</v>
      </c>
      <c r="B544">
        <f>DAY(F544)</f>
        <v>2</v>
      </c>
      <c r="C544" t="str">
        <f>TEXT(F544, "mmmm")</f>
        <v>May</v>
      </c>
      <c r="D544" s="3">
        <f>MONTH(F544)</f>
        <v>5</v>
      </c>
      <c r="E544" s="3">
        <f>YEAR(F544)</f>
        <v>2023</v>
      </c>
      <c r="F544" s="2">
        <v>45048</v>
      </c>
      <c r="G544" s="3" t="s">
        <v>50</v>
      </c>
      <c r="H544" s="3" t="s">
        <v>18</v>
      </c>
      <c r="I544" s="3">
        <v>40</v>
      </c>
      <c r="J544" s="3"/>
      <c r="K544" s="3" t="s">
        <v>19</v>
      </c>
      <c r="L544" s="3">
        <v>1</v>
      </c>
      <c r="M544" s="4">
        <v>50</v>
      </c>
      <c r="N544">
        <f>L544 * M544</f>
        <v>50</v>
      </c>
      <c r="O544" s="15">
        <f>N544 *$R$3</f>
        <v>0.75</v>
      </c>
    </row>
    <row r="545" spans="1:15" ht="15.75">
      <c r="A545" s="3">
        <v>468</v>
      </c>
      <c r="B545">
        <f>DAY(F545)</f>
        <v>9</v>
      </c>
      <c r="C545" t="str">
        <f>TEXT(F545, "mmmm")</f>
        <v>December</v>
      </c>
      <c r="D545" s="3">
        <f>MONTH(F545)</f>
        <v>12</v>
      </c>
      <c r="E545" s="3">
        <f>YEAR(F545)</f>
        <v>2023</v>
      </c>
      <c r="F545" s="2">
        <v>45269</v>
      </c>
      <c r="G545" s="3" t="s">
        <v>682</v>
      </c>
      <c r="H545" s="3" t="s">
        <v>18</v>
      </c>
      <c r="I545" s="3">
        <v>40</v>
      </c>
      <c r="J545" s="3"/>
      <c r="K545" s="3" t="s">
        <v>196</v>
      </c>
      <c r="L545" s="3">
        <v>1</v>
      </c>
      <c r="M545" s="4">
        <v>25</v>
      </c>
      <c r="N545">
        <f>L545 * M545</f>
        <v>25</v>
      </c>
      <c r="O545" s="15">
        <f>N545 *$R$3</f>
        <v>0.375</v>
      </c>
    </row>
    <row r="546" spans="1:15" ht="15.75">
      <c r="A546" s="3">
        <v>518</v>
      </c>
      <c r="B546">
        <f>DAY(F546)</f>
        <v>11</v>
      </c>
      <c r="C546" t="str">
        <f>TEXT(F546, "mmmm")</f>
        <v>May</v>
      </c>
      <c r="D546" s="3">
        <f>MONTH(F546)</f>
        <v>5</v>
      </c>
      <c r="E546" s="3">
        <f>YEAR(F546)</f>
        <v>2023</v>
      </c>
      <c r="F546" s="2">
        <v>45057</v>
      </c>
      <c r="G546" s="3" t="s">
        <v>683</v>
      </c>
      <c r="H546" s="3" t="s">
        <v>198</v>
      </c>
      <c r="I546" s="3">
        <v>40</v>
      </c>
      <c r="J546" s="3"/>
      <c r="K546" s="3" t="s">
        <v>195</v>
      </c>
      <c r="L546" s="3">
        <v>1</v>
      </c>
      <c r="M546" s="4">
        <v>30</v>
      </c>
      <c r="N546">
        <f>L546 * M546</f>
        <v>30</v>
      </c>
      <c r="O546" s="15">
        <f>N546 *$R$3</f>
        <v>0.44999999999999996</v>
      </c>
    </row>
    <row r="547" spans="1:15" ht="15.75">
      <c r="A547" s="3">
        <v>550</v>
      </c>
      <c r="B547">
        <f>DAY(F547)</f>
        <v>7</v>
      </c>
      <c r="C547" t="str">
        <f>TEXT(F547, "mmmm")</f>
        <v>December</v>
      </c>
      <c r="D547" s="3">
        <f>MONTH(F547)</f>
        <v>12</v>
      </c>
      <c r="E547" s="3">
        <f>YEAR(F547)</f>
        <v>2023</v>
      </c>
      <c r="F547" s="2">
        <v>45267</v>
      </c>
      <c r="G547" s="3" t="s">
        <v>684</v>
      </c>
      <c r="H547" s="3" t="s">
        <v>18</v>
      </c>
      <c r="I547" s="3">
        <v>40</v>
      </c>
      <c r="J547" s="3"/>
      <c r="K547" s="3" t="s">
        <v>195</v>
      </c>
      <c r="L547" s="3">
        <v>3</v>
      </c>
      <c r="M547" s="4">
        <v>300</v>
      </c>
      <c r="N547">
        <f>L547 * M547</f>
        <v>900</v>
      </c>
      <c r="O547" s="15">
        <f>N547 *$R$3</f>
        <v>13.5</v>
      </c>
    </row>
    <row r="548" spans="1:15" ht="15.75">
      <c r="A548" s="3">
        <v>559</v>
      </c>
      <c r="B548">
        <f>DAY(F548)</f>
        <v>1</v>
      </c>
      <c r="C548" t="str">
        <f>TEXT(F548, "mmmm")</f>
        <v>January</v>
      </c>
      <c r="D548" s="3">
        <f>MONTH(F548)</f>
        <v>1</v>
      </c>
      <c r="E548" s="3">
        <f>YEAR(F548)</f>
        <v>2023</v>
      </c>
      <c r="F548" s="2">
        <v>44927</v>
      </c>
      <c r="G548" s="3" t="s">
        <v>685</v>
      </c>
      <c r="H548" s="3" t="s">
        <v>198</v>
      </c>
      <c r="I548" s="3">
        <v>40</v>
      </c>
      <c r="J548" s="3"/>
      <c r="K548" s="3" t="s">
        <v>195</v>
      </c>
      <c r="L548" s="3">
        <v>4</v>
      </c>
      <c r="M548" s="4">
        <v>300</v>
      </c>
      <c r="N548">
        <f>L548 * M548</f>
        <v>1200</v>
      </c>
      <c r="O548" s="15">
        <f>N548 *$R$3</f>
        <v>18</v>
      </c>
    </row>
    <row r="549" spans="1:15" ht="15.75">
      <c r="A549" s="3">
        <v>587</v>
      </c>
      <c r="B549">
        <f>DAY(F549)</f>
        <v>8</v>
      </c>
      <c r="C549" t="str">
        <f>TEXT(F549, "mmmm")</f>
        <v>June</v>
      </c>
      <c r="D549" s="3">
        <f>MONTH(F549)</f>
        <v>6</v>
      </c>
      <c r="E549" s="3">
        <f>YEAR(F549)</f>
        <v>2023</v>
      </c>
      <c r="F549" s="2">
        <v>45085</v>
      </c>
      <c r="G549" s="3" t="s">
        <v>686</v>
      </c>
      <c r="H549" s="3" t="s">
        <v>198</v>
      </c>
      <c r="I549" s="3">
        <v>40</v>
      </c>
      <c r="J549" s="3"/>
      <c r="K549" s="3" t="s">
        <v>19</v>
      </c>
      <c r="L549" s="3">
        <v>4</v>
      </c>
      <c r="M549" s="4">
        <v>300</v>
      </c>
      <c r="N549">
        <f>L549 * M549</f>
        <v>1200</v>
      </c>
      <c r="O549" s="15">
        <f>N549 *$R$3</f>
        <v>18</v>
      </c>
    </row>
    <row r="550" spans="1:15" ht="15.75">
      <c r="A550" s="3">
        <v>603</v>
      </c>
      <c r="B550">
        <f>DAY(F550)</f>
        <v>16</v>
      </c>
      <c r="C550" t="str">
        <f>TEXT(F550, "mmmm")</f>
        <v>July</v>
      </c>
      <c r="D550" s="3">
        <f>MONTH(F550)</f>
        <v>7</v>
      </c>
      <c r="E550" s="3">
        <f>YEAR(F550)</f>
        <v>2023</v>
      </c>
      <c r="F550" s="2">
        <v>45123</v>
      </c>
      <c r="G550" s="3" t="s">
        <v>687</v>
      </c>
      <c r="H550" s="3" t="s">
        <v>198</v>
      </c>
      <c r="I550" s="3">
        <v>40</v>
      </c>
      <c r="J550" s="3"/>
      <c r="K550" s="3" t="s">
        <v>195</v>
      </c>
      <c r="L550" s="3">
        <v>3</v>
      </c>
      <c r="M550" s="4">
        <v>30</v>
      </c>
      <c r="N550">
        <f>L550 * M550</f>
        <v>90</v>
      </c>
      <c r="O550" s="15">
        <f>N550 *$R$3</f>
        <v>1.3499999999999999</v>
      </c>
    </row>
    <row r="551" spans="1:15" ht="15.75">
      <c r="A551" s="3">
        <v>621</v>
      </c>
      <c r="B551">
        <f>DAY(F551)</f>
        <v>4</v>
      </c>
      <c r="C551" t="str">
        <f>TEXT(F551, "mmmm")</f>
        <v>March</v>
      </c>
      <c r="D551" s="3">
        <f>MONTH(F551)</f>
        <v>3</v>
      </c>
      <c r="E551" s="3">
        <f>YEAR(F551)</f>
        <v>2023</v>
      </c>
      <c r="F551" s="2">
        <v>44989</v>
      </c>
      <c r="G551" s="3" t="s">
        <v>688</v>
      </c>
      <c r="H551" s="3" t="s">
        <v>198</v>
      </c>
      <c r="I551" s="3">
        <v>40</v>
      </c>
      <c r="J551" s="3"/>
      <c r="K551" s="3" t="s">
        <v>19</v>
      </c>
      <c r="L551" s="3">
        <v>2</v>
      </c>
      <c r="M551" s="4">
        <v>500</v>
      </c>
      <c r="N551">
        <f>L551 * M551</f>
        <v>1000</v>
      </c>
      <c r="O551" s="15">
        <f>N551 *$R$3</f>
        <v>15</v>
      </c>
    </row>
    <row r="552" spans="1:15" ht="15.75">
      <c r="A552" s="3">
        <v>641</v>
      </c>
      <c r="B552">
        <f>DAY(F552)</f>
        <v>23</v>
      </c>
      <c r="C552" t="str">
        <f>TEXT(F552, "mmmm")</f>
        <v>November</v>
      </c>
      <c r="D552" s="3">
        <f>MONTH(F552)</f>
        <v>11</v>
      </c>
      <c r="E552" s="3">
        <f>YEAR(F552)</f>
        <v>2023</v>
      </c>
      <c r="F552" s="2">
        <v>45253</v>
      </c>
      <c r="G552" s="3" t="s">
        <v>689</v>
      </c>
      <c r="H552" s="3" t="s">
        <v>198</v>
      </c>
      <c r="I552" s="3">
        <v>40</v>
      </c>
      <c r="J552" s="3"/>
      <c r="K552" s="3" t="s">
        <v>196</v>
      </c>
      <c r="L552" s="3">
        <v>1</v>
      </c>
      <c r="M552" s="4">
        <v>300</v>
      </c>
      <c r="N552">
        <f>L552 * M552</f>
        <v>300</v>
      </c>
      <c r="O552" s="15">
        <f>N552 *$R$3</f>
        <v>4.5</v>
      </c>
    </row>
    <row r="553" spans="1:15" ht="15.75">
      <c r="A553" s="3">
        <v>657</v>
      </c>
      <c r="B553">
        <f>DAY(F553)</f>
        <v>11</v>
      </c>
      <c r="C553" t="str">
        <f>TEXT(F553, "mmmm")</f>
        <v>February</v>
      </c>
      <c r="D553" s="3">
        <f>MONTH(F553)</f>
        <v>2</v>
      </c>
      <c r="E553" s="3">
        <f>YEAR(F553)</f>
        <v>2023</v>
      </c>
      <c r="F553" s="2">
        <v>44968</v>
      </c>
      <c r="G553" s="3" t="s">
        <v>690</v>
      </c>
      <c r="H553" s="3" t="s">
        <v>18</v>
      </c>
      <c r="I553" s="3">
        <v>40</v>
      </c>
      <c r="J553" s="3"/>
      <c r="K553" s="3" t="s">
        <v>195</v>
      </c>
      <c r="L553" s="3">
        <v>1</v>
      </c>
      <c r="M553" s="4">
        <v>25</v>
      </c>
      <c r="N553">
        <f>L553 * M553</f>
        <v>25</v>
      </c>
      <c r="O553" s="15">
        <f>N553 *$R$3</f>
        <v>0.375</v>
      </c>
    </row>
    <row r="554" spans="1:15" ht="15.75">
      <c r="A554" s="3">
        <v>744</v>
      </c>
      <c r="B554">
        <f>DAY(F554)</f>
        <v>7</v>
      </c>
      <c r="C554" t="str">
        <f>TEXT(F554, "mmmm")</f>
        <v>May</v>
      </c>
      <c r="D554" s="3">
        <f>MONTH(F554)</f>
        <v>5</v>
      </c>
      <c r="E554" s="3">
        <f>YEAR(F554)</f>
        <v>2023</v>
      </c>
      <c r="F554" s="2">
        <v>45053</v>
      </c>
      <c r="G554" s="3" t="s">
        <v>691</v>
      </c>
      <c r="H554" s="3" t="s">
        <v>18</v>
      </c>
      <c r="I554" s="3">
        <v>40</v>
      </c>
      <c r="J554" s="3"/>
      <c r="K554" s="3" t="s">
        <v>196</v>
      </c>
      <c r="L554" s="3">
        <v>1</v>
      </c>
      <c r="M554" s="4">
        <v>25</v>
      </c>
      <c r="N554">
        <f>L554 * M554</f>
        <v>25</v>
      </c>
      <c r="O554" s="15">
        <f>N554 *$R$3</f>
        <v>0.375</v>
      </c>
    </row>
    <row r="555" spans="1:15" ht="15.75">
      <c r="A555" s="3">
        <v>764</v>
      </c>
      <c r="B555">
        <f>DAY(F555)</f>
        <v>25</v>
      </c>
      <c r="C555" t="str">
        <f>TEXT(F555, "mmmm")</f>
        <v>March</v>
      </c>
      <c r="D555" s="3">
        <f>MONTH(F555)</f>
        <v>3</v>
      </c>
      <c r="E555" s="3">
        <f>YEAR(F555)</f>
        <v>2023</v>
      </c>
      <c r="F555" s="2">
        <v>45010</v>
      </c>
      <c r="G555" s="3" t="s">
        <v>692</v>
      </c>
      <c r="H555" s="3" t="s">
        <v>198</v>
      </c>
      <c r="I555" s="3">
        <v>40</v>
      </c>
      <c r="J555" s="3"/>
      <c r="K555" s="3" t="s">
        <v>195</v>
      </c>
      <c r="L555" s="3">
        <v>1</v>
      </c>
      <c r="M555" s="4">
        <v>25</v>
      </c>
      <c r="N555">
        <f>L555 * M555</f>
        <v>25</v>
      </c>
      <c r="O555" s="15">
        <f>N555 *$R$3</f>
        <v>0.375</v>
      </c>
    </row>
    <row r="556" spans="1:15" ht="15.75">
      <c r="A556" s="3">
        <v>774</v>
      </c>
      <c r="B556">
        <f>DAY(F556)</f>
        <v>12</v>
      </c>
      <c r="C556" t="str">
        <f>TEXT(F556, "mmmm")</f>
        <v>April</v>
      </c>
      <c r="D556" s="3">
        <f>MONTH(F556)</f>
        <v>4</v>
      </c>
      <c r="E556" s="3">
        <f>YEAR(F556)</f>
        <v>2023</v>
      </c>
      <c r="F556" s="2">
        <v>45028</v>
      </c>
      <c r="G556" s="3" t="s">
        <v>693</v>
      </c>
      <c r="H556" s="3" t="s">
        <v>198</v>
      </c>
      <c r="I556" s="3">
        <v>40</v>
      </c>
      <c r="J556" s="3"/>
      <c r="K556" s="3" t="s">
        <v>195</v>
      </c>
      <c r="L556" s="3">
        <v>2</v>
      </c>
      <c r="M556" s="4">
        <v>25</v>
      </c>
      <c r="N556">
        <f>L556 * M556</f>
        <v>50</v>
      </c>
      <c r="O556" s="15">
        <f>N556 *$R$3</f>
        <v>0.75</v>
      </c>
    </row>
    <row r="557" spans="1:15" ht="15.75">
      <c r="A557" s="3">
        <v>797</v>
      </c>
      <c r="B557">
        <f>DAY(F557)</f>
        <v>7</v>
      </c>
      <c r="C557" t="str">
        <f>TEXT(F557, "mmmm")</f>
        <v>January</v>
      </c>
      <c r="D557" s="3">
        <f>MONTH(F557)</f>
        <v>1</v>
      </c>
      <c r="E557" s="3">
        <f>YEAR(F557)</f>
        <v>2023</v>
      </c>
      <c r="F557" s="2">
        <v>44933</v>
      </c>
      <c r="G557" s="3" t="s">
        <v>694</v>
      </c>
      <c r="H557" s="3" t="s">
        <v>18</v>
      </c>
      <c r="I557" s="3">
        <v>40</v>
      </c>
      <c r="J557" s="3"/>
      <c r="K557" s="3" t="s">
        <v>195</v>
      </c>
      <c r="L557" s="3">
        <v>3</v>
      </c>
      <c r="M557" s="4">
        <v>25</v>
      </c>
      <c r="N557">
        <f>L557 * M557</f>
        <v>75</v>
      </c>
      <c r="O557" s="15">
        <f>N557 *$R$3</f>
        <v>1.125</v>
      </c>
    </row>
    <row r="558" spans="1:15" ht="15.75">
      <c r="A558" s="3">
        <v>883</v>
      </c>
      <c r="B558">
        <f>DAY(F558)</f>
        <v>9</v>
      </c>
      <c r="C558" t="str">
        <f>TEXT(F558, "mmmm")</f>
        <v>May</v>
      </c>
      <c r="D558" s="3">
        <f>MONTH(F558)</f>
        <v>5</v>
      </c>
      <c r="E558" s="3">
        <f>YEAR(F558)</f>
        <v>2023</v>
      </c>
      <c r="F558" s="2">
        <v>45055</v>
      </c>
      <c r="G558" s="3" t="s">
        <v>695</v>
      </c>
      <c r="H558" s="3" t="s">
        <v>18</v>
      </c>
      <c r="I558" s="3">
        <v>40</v>
      </c>
      <c r="J558" s="3"/>
      <c r="K558" s="3" t="s">
        <v>196</v>
      </c>
      <c r="L558" s="3">
        <v>1</v>
      </c>
      <c r="M558" s="4">
        <v>500</v>
      </c>
      <c r="N558">
        <f>L558 * M558</f>
        <v>500</v>
      </c>
      <c r="O558" s="15">
        <f>N558 *$R$3</f>
        <v>7.5</v>
      </c>
    </row>
    <row r="559" spans="1:15" ht="15.75">
      <c r="A559" s="3">
        <v>969</v>
      </c>
      <c r="B559">
        <f>DAY(F559)</f>
        <v>19</v>
      </c>
      <c r="C559" t="str">
        <f>TEXT(F559, "mmmm")</f>
        <v>April</v>
      </c>
      <c r="D559" s="3">
        <f>MONTH(F559)</f>
        <v>4</v>
      </c>
      <c r="E559" s="3">
        <f>YEAR(F559)</f>
        <v>2023</v>
      </c>
      <c r="F559" s="2">
        <v>45035</v>
      </c>
      <c r="G559" s="3" t="s">
        <v>696</v>
      </c>
      <c r="H559" s="3" t="s">
        <v>198</v>
      </c>
      <c r="I559" s="3">
        <v>40</v>
      </c>
      <c r="J559" s="3"/>
      <c r="K559" s="3" t="s">
        <v>195</v>
      </c>
      <c r="L559" s="3">
        <v>3</v>
      </c>
      <c r="M559" s="4">
        <v>300</v>
      </c>
      <c r="N559">
        <f>L559 * M559</f>
        <v>900</v>
      </c>
      <c r="O559" s="15">
        <f>N559 *$R$3</f>
        <v>13.5</v>
      </c>
    </row>
    <row r="560" spans="1:15" ht="15.75">
      <c r="A560" s="3">
        <v>30</v>
      </c>
      <c r="B560">
        <f>DAY(F560)</f>
        <v>29</v>
      </c>
      <c r="C560" t="str">
        <f>TEXT(F560, "mmmm")</f>
        <v>October</v>
      </c>
      <c r="D560" s="3">
        <f>MONTH(F560)</f>
        <v>10</v>
      </c>
      <c r="E560" s="3">
        <f>YEAR(F560)</f>
        <v>2023</v>
      </c>
      <c r="F560" s="2">
        <v>45228</v>
      </c>
      <c r="G560" s="3" t="s">
        <v>697</v>
      </c>
      <c r="H560" s="3" t="s">
        <v>198</v>
      </c>
      <c r="I560" s="3">
        <v>39</v>
      </c>
      <c r="J560" s="3"/>
      <c r="K560" s="3" t="s">
        <v>19</v>
      </c>
      <c r="L560" s="3">
        <v>3</v>
      </c>
      <c r="M560" s="4">
        <v>300</v>
      </c>
      <c r="N560">
        <f>L560 * M560</f>
        <v>900</v>
      </c>
      <c r="O560" s="15">
        <f>N560 *$R$3</f>
        <v>13.5</v>
      </c>
    </row>
    <row r="561" spans="1:15" ht="15.75">
      <c r="A561" s="3">
        <v>145</v>
      </c>
      <c r="B561">
        <f>DAY(F561)</f>
        <v>2</v>
      </c>
      <c r="C561" t="str">
        <f>TEXT(F561, "mmmm")</f>
        <v>November</v>
      </c>
      <c r="D561" s="3">
        <f>MONTH(F561)</f>
        <v>11</v>
      </c>
      <c r="E561" s="3">
        <f>YEAR(F561)</f>
        <v>2023</v>
      </c>
      <c r="F561" s="2">
        <v>45232</v>
      </c>
      <c r="G561" s="3" t="s">
        <v>698</v>
      </c>
      <c r="H561" s="3" t="s">
        <v>198</v>
      </c>
      <c r="I561" s="3">
        <v>39</v>
      </c>
      <c r="J561" s="3"/>
      <c r="K561" s="3" t="s">
        <v>195</v>
      </c>
      <c r="L561" s="3">
        <v>3</v>
      </c>
      <c r="M561" s="4">
        <v>25</v>
      </c>
      <c r="N561">
        <f>L561 * M561</f>
        <v>75</v>
      </c>
      <c r="O561" s="15">
        <f>N561 *$R$3</f>
        <v>1.125</v>
      </c>
    </row>
    <row r="562" spans="1:15" ht="15.75">
      <c r="A562" s="3">
        <v>162</v>
      </c>
      <c r="B562">
        <f>DAY(F562)</f>
        <v>21</v>
      </c>
      <c r="C562" t="str">
        <f>TEXT(F562, "mmmm")</f>
        <v>August</v>
      </c>
      <c r="D562" s="3">
        <f>MONTH(F562)</f>
        <v>8</v>
      </c>
      <c r="E562" s="3">
        <f>YEAR(F562)</f>
        <v>2023</v>
      </c>
      <c r="F562" s="2">
        <v>45159</v>
      </c>
      <c r="G562" s="3" t="s">
        <v>699</v>
      </c>
      <c r="H562" s="3" t="s">
        <v>18</v>
      </c>
      <c r="I562" s="3">
        <v>39</v>
      </c>
      <c r="J562" s="3"/>
      <c r="K562" s="3" t="s">
        <v>195</v>
      </c>
      <c r="L562" s="3">
        <v>2</v>
      </c>
      <c r="M562" s="4">
        <v>30</v>
      </c>
      <c r="N562">
        <f>L562 * M562</f>
        <v>60</v>
      </c>
      <c r="O562" s="15">
        <f>N562 *$R$3</f>
        <v>0.89999999999999991</v>
      </c>
    </row>
    <row r="563" spans="1:15" ht="15.75">
      <c r="A563" s="3">
        <v>174</v>
      </c>
      <c r="B563">
        <f>DAY(F563)</f>
        <v>12</v>
      </c>
      <c r="C563" t="str">
        <f>TEXT(F563, "mmmm")</f>
        <v>April</v>
      </c>
      <c r="D563" s="3">
        <f>MONTH(F563)</f>
        <v>4</v>
      </c>
      <c r="E563" s="3">
        <f>YEAR(F563)</f>
        <v>2023</v>
      </c>
      <c r="F563" s="2">
        <v>45028</v>
      </c>
      <c r="G563" s="3" t="s">
        <v>700</v>
      </c>
      <c r="H563" s="3" t="s">
        <v>198</v>
      </c>
      <c r="I563" s="3">
        <v>39</v>
      </c>
      <c r="J563" s="3"/>
      <c r="K563" s="3" t="s">
        <v>19</v>
      </c>
      <c r="L563" s="3">
        <v>1</v>
      </c>
      <c r="M563" s="4">
        <v>300</v>
      </c>
      <c r="N563">
        <f>L563 * M563</f>
        <v>300</v>
      </c>
      <c r="O563" s="15">
        <f>N563 *$R$3</f>
        <v>4.5</v>
      </c>
    </row>
    <row r="564" spans="1:15" ht="15.75">
      <c r="A564" s="3">
        <v>204</v>
      </c>
      <c r="B564">
        <f>DAY(F564)</f>
        <v>28</v>
      </c>
      <c r="C564" t="str">
        <f>TEXT(F564, "mmmm")</f>
        <v>September</v>
      </c>
      <c r="D564" s="3">
        <f>MONTH(F564)</f>
        <v>9</v>
      </c>
      <c r="E564" s="3">
        <f>YEAR(F564)</f>
        <v>2023</v>
      </c>
      <c r="F564" s="2">
        <v>45197</v>
      </c>
      <c r="G564" s="3" t="s">
        <v>29</v>
      </c>
      <c r="H564" s="3" t="s">
        <v>18</v>
      </c>
      <c r="I564" s="3">
        <v>39</v>
      </c>
      <c r="J564" s="3"/>
      <c r="K564" s="3" t="s">
        <v>19</v>
      </c>
      <c r="L564" s="3">
        <v>1</v>
      </c>
      <c r="M564" s="4">
        <v>25</v>
      </c>
      <c r="N564">
        <f>L564 * M564</f>
        <v>25</v>
      </c>
      <c r="O564" s="15">
        <f>N564 *$R$3</f>
        <v>0.375</v>
      </c>
    </row>
    <row r="565" spans="1:15" ht="15.75">
      <c r="A565" s="3">
        <v>221</v>
      </c>
      <c r="B565">
        <f>DAY(F565)</f>
        <v>7</v>
      </c>
      <c r="C565" t="str">
        <f>TEXT(F565, "mmmm")</f>
        <v>May</v>
      </c>
      <c r="D565" s="3">
        <f>MONTH(F565)</f>
        <v>5</v>
      </c>
      <c r="E565" s="3">
        <f>YEAR(F565)</f>
        <v>2023</v>
      </c>
      <c r="F565" s="2">
        <v>45053</v>
      </c>
      <c r="G565" s="3" t="s">
        <v>130</v>
      </c>
      <c r="H565" s="3" t="s">
        <v>18</v>
      </c>
      <c r="I565" s="3">
        <v>39</v>
      </c>
      <c r="J565" s="3"/>
      <c r="K565" s="3" t="s">
        <v>19</v>
      </c>
      <c r="L565" s="3">
        <v>2</v>
      </c>
      <c r="M565" s="4">
        <v>300</v>
      </c>
      <c r="N565">
        <f>L565 * M565</f>
        <v>600</v>
      </c>
      <c r="O565" s="15">
        <f>N565 *$R$3</f>
        <v>9</v>
      </c>
    </row>
    <row r="566" spans="1:15" ht="15.75">
      <c r="A566" s="3">
        <v>238</v>
      </c>
      <c r="B566">
        <f>DAY(F566)</f>
        <v>17</v>
      </c>
      <c r="C566" t="str">
        <f>TEXT(F566, "mmmm")</f>
        <v>January</v>
      </c>
      <c r="D566" s="3">
        <f>MONTH(F566)</f>
        <v>1</v>
      </c>
      <c r="E566" s="3">
        <f>YEAR(F566)</f>
        <v>2023</v>
      </c>
      <c r="F566" s="2">
        <v>44943</v>
      </c>
      <c r="G566" s="3" t="s">
        <v>701</v>
      </c>
      <c r="H566" s="3" t="s">
        <v>198</v>
      </c>
      <c r="I566" s="3">
        <v>39</v>
      </c>
      <c r="J566" s="3"/>
      <c r="K566" s="3" t="s">
        <v>19</v>
      </c>
      <c r="L566" s="3">
        <v>1</v>
      </c>
      <c r="M566" s="4">
        <v>500</v>
      </c>
      <c r="N566">
        <f>L566 * M566</f>
        <v>500</v>
      </c>
      <c r="O566" s="15">
        <f>N566 *$R$3</f>
        <v>7.5</v>
      </c>
    </row>
    <row r="567" spans="1:15" ht="15.75">
      <c r="A567" s="3">
        <v>328</v>
      </c>
      <c r="B567">
        <f>DAY(F567)</f>
        <v>22</v>
      </c>
      <c r="C567" t="str">
        <f>TEXT(F567, "mmmm")</f>
        <v>March</v>
      </c>
      <c r="D567" s="3">
        <f>MONTH(F567)</f>
        <v>3</v>
      </c>
      <c r="E567" s="3">
        <f>YEAR(F567)</f>
        <v>2023</v>
      </c>
      <c r="F567" s="2">
        <v>45007</v>
      </c>
      <c r="G567" s="3" t="s">
        <v>93</v>
      </c>
      <c r="H567" s="3" t="s">
        <v>18</v>
      </c>
      <c r="I567" s="3">
        <v>39</v>
      </c>
      <c r="J567" s="3"/>
      <c r="K567" s="3" t="s">
        <v>19</v>
      </c>
      <c r="L567" s="3">
        <v>2</v>
      </c>
      <c r="M567" s="4">
        <v>50</v>
      </c>
      <c r="N567">
        <f>L567 * M567</f>
        <v>100</v>
      </c>
      <c r="O567" s="15">
        <f>N567 *$R$3</f>
        <v>1.5</v>
      </c>
    </row>
    <row r="568" spans="1:15" ht="15.75">
      <c r="A568" s="3">
        <v>390</v>
      </c>
      <c r="B568">
        <f>DAY(F568)</f>
        <v>28</v>
      </c>
      <c r="C568" t="str">
        <f>TEXT(F568, "mmmm")</f>
        <v>September</v>
      </c>
      <c r="D568" s="3">
        <f>MONTH(F568)</f>
        <v>9</v>
      </c>
      <c r="E568" s="3">
        <f>YEAR(F568)</f>
        <v>2023</v>
      </c>
      <c r="F568" s="2">
        <v>45197</v>
      </c>
      <c r="G568" s="3" t="s">
        <v>702</v>
      </c>
      <c r="H568" s="3" t="s">
        <v>18</v>
      </c>
      <c r="I568" s="3">
        <v>39</v>
      </c>
      <c r="J568" s="3"/>
      <c r="K568" s="3" t="s">
        <v>196</v>
      </c>
      <c r="L568" s="3">
        <v>2</v>
      </c>
      <c r="M568" s="4">
        <v>50</v>
      </c>
      <c r="N568">
        <f>L568 * M568</f>
        <v>100</v>
      </c>
      <c r="O568" s="15">
        <f>N568 *$R$3</f>
        <v>1.5</v>
      </c>
    </row>
    <row r="569" spans="1:15" ht="15.75">
      <c r="A569" s="3">
        <v>458</v>
      </c>
      <c r="B569">
        <f>DAY(F569)</f>
        <v>14</v>
      </c>
      <c r="C569" t="str">
        <f>TEXT(F569, "mmmm")</f>
        <v>November</v>
      </c>
      <c r="D569" s="3">
        <f>MONTH(F569)</f>
        <v>11</v>
      </c>
      <c r="E569" s="3">
        <f>YEAR(F569)</f>
        <v>2023</v>
      </c>
      <c r="F569" s="2">
        <v>45244</v>
      </c>
      <c r="G569" s="3" t="s">
        <v>703</v>
      </c>
      <c r="H569" s="3" t="s">
        <v>198</v>
      </c>
      <c r="I569" s="3">
        <v>39</v>
      </c>
      <c r="J569" s="3"/>
      <c r="K569" s="3" t="s">
        <v>196</v>
      </c>
      <c r="L569" s="3">
        <v>4</v>
      </c>
      <c r="M569" s="4">
        <v>25</v>
      </c>
      <c r="N569">
        <f>L569 * M569</f>
        <v>100</v>
      </c>
      <c r="O569" s="15">
        <f>N569 *$R$3</f>
        <v>1.5</v>
      </c>
    </row>
    <row r="570" spans="1:15" ht="15.75">
      <c r="A570" s="3">
        <v>501</v>
      </c>
      <c r="B570">
        <f>DAY(F570)</f>
        <v>14</v>
      </c>
      <c r="C570" t="str">
        <f>TEXT(F570, "mmmm")</f>
        <v>May</v>
      </c>
      <c r="D570" s="3">
        <f>MONTH(F570)</f>
        <v>5</v>
      </c>
      <c r="E570" s="3">
        <f>YEAR(F570)</f>
        <v>2023</v>
      </c>
      <c r="F570" s="2">
        <v>45060</v>
      </c>
      <c r="G570" s="3" t="s">
        <v>704</v>
      </c>
      <c r="H570" s="3" t="s">
        <v>18</v>
      </c>
      <c r="I570" s="3">
        <v>39</v>
      </c>
      <c r="J570" s="3"/>
      <c r="K570" s="3" t="s">
        <v>196</v>
      </c>
      <c r="L570" s="3">
        <v>2</v>
      </c>
      <c r="M570" s="4">
        <v>30</v>
      </c>
      <c r="N570">
        <f>L570 * M570</f>
        <v>60</v>
      </c>
      <c r="O570" s="15">
        <f>N570 *$R$3</f>
        <v>0.89999999999999991</v>
      </c>
    </row>
    <row r="571" spans="1:15" ht="15.75">
      <c r="A571" s="3">
        <v>510</v>
      </c>
      <c r="B571">
        <f>DAY(F571)</f>
        <v>10</v>
      </c>
      <c r="C571" t="str">
        <f>TEXT(F571, "mmmm")</f>
        <v>June</v>
      </c>
      <c r="D571" s="3">
        <f>MONTH(F571)</f>
        <v>6</v>
      </c>
      <c r="E571" s="3">
        <f>YEAR(F571)</f>
        <v>2023</v>
      </c>
      <c r="F571" s="2">
        <v>45087</v>
      </c>
      <c r="G571" s="3" t="s">
        <v>705</v>
      </c>
      <c r="H571" s="3" t="s">
        <v>198</v>
      </c>
      <c r="I571" s="3">
        <v>39</v>
      </c>
      <c r="J571" s="3"/>
      <c r="K571" s="3" t="s">
        <v>19</v>
      </c>
      <c r="L571" s="3">
        <v>4</v>
      </c>
      <c r="M571" s="4">
        <v>50</v>
      </c>
      <c r="N571">
        <f>L571 * M571</f>
        <v>200</v>
      </c>
      <c r="O571" s="15">
        <f>N571 *$R$3</f>
        <v>3</v>
      </c>
    </row>
    <row r="572" spans="1:15" ht="15.75">
      <c r="A572" s="3">
        <v>614</v>
      </c>
      <c r="B572">
        <f>DAY(F572)</f>
        <v>1</v>
      </c>
      <c r="C572" t="str">
        <f>TEXT(F572, "mmmm")</f>
        <v>April</v>
      </c>
      <c r="D572" s="3">
        <f>MONTH(F572)</f>
        <v>4</v>
      </c>
      <c r="E572" s="3">
        <f>YEAR(F572)</f>
        <v>2023</v>
      </c>
      <c r="F572" s="2">
        <v>45017</v>
      </c>
      <c r="G572" s="3" t="s">
        <v>706</v>
      </c>
      <c r="H572" s="3" t="s">
        <v>198</v>
      </c>
      <c r="I572" s="3">
        <v>39</v>
      </c>
      <c r="J572" s="3"/>
      <c r="K572" s="3" t="s">
        <v>19</v>
      </c>
      <c r="L572" s="3">
        <v>4</v>
      </c>
      <c r="M572" s="4">
        <v>300</v>
      </c>
      <c r="N572">
        <f>L572 * M572</f>
        <v>1200</v>
      </c>
      <c r="O572" s="15">
        <f>N572 *$R$3</f>
        <v>18</v>
      </c>
    </row>
    <row r="573" spans="1:15" ht="15.75">
      <c r="A573" s="3">
        <v>633</v>
      </c>
      <c r="B573">
        <f>DAY(F573)</f>
        <v>7</v>
      </c>
      <c r="C573" t="str">
        <f>TEXT(F573, "mmmm")</f>
        <v>August</v>
      </c>
      <c r="D573" s="3">
        <f>MONTH(F573)</f>
        <v>8</v>
      </c>
      <c r="E573" s="3">
        <f>YEAR(F573)</f>
        <v>2023</v>
      </c>
      <c r="F573" s="2">
        <v>45145</v>
      </c>
      <c r="G573" s="3" t="s">
        <v>100</v>
      </c>
      <c r="H573" s="3" t="s">
        <v>18</v>
      </c>
      <c r="I573" s="3">
        <v>39</v>
      </c>
      <c r="J573" s="3"/>
      <c r="K573" s="3" t="s">
        <v>19</v>
      </c>
      <c r="L573" s="3">
        <v>4</v>
      </c>
      <c r="M573" s="4">
        <v>30</v>
      </c>
      <c r="N573">
        <f>L573 * M573</f>
        <v>120</v>
      </c>
      <c r="O573" s="15">
        <f>N573 *$R$3</f>
        <v>1.7999999999999998</v>
      </c>
    </row>
    <row r="574" spans="1:15" ht="15.75">
      <c r="A574" s="3">
        <v>659</v>
      </c>
      <c r="B574">
        <f>DAY(F574)</f>
        <v>19</v>
      </c>
      <c r="C574" t="str">
        <f>TEXT(F574, "mmmm")</f>
        <v>March</v>
      </c>
      <c r="D574" s="3">
        <f>MONTH(F574)</f>
        <v>3</v>
      </c>
      <c r="E574" s="3">
        <f>YEAR(F574)</f>
        <v>2023</v>
      </c>
      <c r="F574" s="2">
        <v>45004</v>
      </c>
      <c r="G574" s="3" t="s">
        <v>707</v>
      </c>
      <c r="H574" s="3" t="s">
        <v>198</v>
      </c>
      <c r="I574" s="3">
        <v>39</v>
      </c>
      <c r="J574" s="3"/>
      <c r="K574" s="3" t="s">
        <v>196</v>
      </c>
      <c r="L574" s="3">
        <v>1</v>
      </c>
      <c r="M574" s="4">
        <v>30</v>
      </c>
      <c r="N574">
        <f>L574 * M574</f>
        <v>30</v>
      </c>
      <c r="O574" s="15">
        <f>N574 *$R$3</f>
        <v>0.44999999999999996</v>
      </c>
    </row>
    <row r="575" spans="1:15" ht="15.75">
      <c r="A575" s="3">
        <v>694</v>
      </c>
      <c r="B575">
        <f>DAY(F575)</f>
        <v>20</v>
      </c>
      <c r="C575" t="str">
        <f>TEXT(F575, "mmmm")</f>
        <v>May</v>
      </c>
      <c r="D575" s="3">
        <f>MONTH(F575)</f>
        <v>5</v>
      </c>
      <c r="E575" s="3">
        <f>YEAR(F575)</f>
        <v>2023</v>
      </c>
      <c r="F575" s="2">
        <v>45066</v>
      </c>
      <c r="G575" s="3" t="s">
        <v>708</v>
      </c>
      <c r="H575" s="3" t="s">
        <v>198</v>
      </c>
      <c r="I575" s="3">
        <v>39</v>
      </c>
      <c r="J575" s="3"/>
      <c r="K575" s="3" t="s">
        <v>196</v>
      </c>
      <c r="L575" s="3">
        <v>2</v>
      </c>
      <c r="M575" s="4">
        <v>25</v>
      </c>
      <c r="N575">
        <f>L575 * M575</f>
        <v>50</v>
      </c>
      <c r="O575" s="15">
        <f>N575 *$R$3</f>
        <v>0.75</v>
      </c>
    </row>
    <row r="576" spans="1:15" ht="15.75">
      <c r="A576" s="3">
        <v>767</v>
      </c>
      <c r="B576">
        <f>DAY(F576)</f>
        <v>24</v>
      </c>
      <c r="C576" t="str">
        <f>TEXT(F576, "mmmm")</f>
        <v>October</v>
      </c>
      <c r="D576" s="3">
        <f>MONTH(F576)</f>
        <v>10</v>
      </c>
      <c r="E576" s="3">
        <f>YEAR(F576)</f>
        <v>2023</v>
      </c>
      <c r="F576" s="2">
        <v>45223</v>
      </c>
      <c r="G576" s="3" t="s">
        <v>65</v>
      </c>
      <c r="H576" s="3" t="s">
        <v>18</v>
      </c>
      <c r="I576" s="3">
        <v>39</v>
      </c>
      <c r="J576" s="3"/>
      <c r="K576" s="3" t="s">
        <v>19</v>
      </c>
      <c r="L576" s="3">
        <v>3</v>
      </c>
      <c r="M576" s="4">
        <v>25</v>
      </c>
      <c r="N576">
        <f>L576 * M576</f>
        <v>75</v>
      </c>
      <c r="O576" s="15">
        <f>N576 *$R$3</f>
        <v>1.125</v>
      </c>
    </row>
    <row r="577" spans="1:15" ht="15.75">
      <c r="A577" s="3">
        <v>803</v>
      </c>
      <c r="B577">
        <f>DAY(F577)</f>
        <v>22</v>
      </c>
      <c r="C577" t="str">
        <f>TEXT(F577, "mmmm")</f>
        <v>November</v>
      </c>
      <c r="D577" s="3">
        <f>MONTH(F577)</f>
        <v>11</v>
      </c>
      <c r="E577" s="3">
        <f>YEAR(F577)</f>
        <v>2023</v>
      </c>
      <c r="F577" s="2">
        <v>45252</v>
      </c>
      <c r="G577" s="3" t="s">
        <v>709</v>
      </c>
      <c r="H577" s="3" t="s">
        <v>18</v>
      </c>
      <c r="I577" s="3">
        <v>39</v>
      </c>
      <c r="J577" s="3"/>
      <c r="K577" s="3" t="s">
        <v>195</v>
      </c>
      <c r="L577" s="3">
        <v>4</v>
      </c>
      <c r="M577" s="4">
        <v>25</v>
      </c>
      <c r="N577">
        <f>L577 * M577</f>
        <v>100</v>
      </c>
      <c r="O577" s="15">
        <f>N577 *$R$3</f>
        <v>1.5</v>
      </c>
    </row>
    <row r="578" spans="1:15" ht="15.75">
      <c r="A578" s="3">
        <v>27</v>
      </c>
      <c r="B578">
        <f>DAY(F578)</f>
        <v>3</v>
      </c>
      <c r="C578" t="str">
        <f>TEXT(F578, "mmmm")</f>
        <v>August</v>
      </c>
      <c r="D578" s="3">
        <f>MONTH(F578)</f>
        <v>8</v>
      </c>
      <c r="E578" s="3">
        <f>YEAR(F578)</f>
        <v>2023</v>
      </c>
      <c r="F578" s="2">
        <v>45141</v>
      </c>
      <c r="G578" s="3" t="s">
        <v>710</v>
      </c>
      <c r="H578" s="3" t="s">
        <v>198</v>
      </c>
      <c r="I578" s="3">
        <v>38</v>
      </c>
      <c r="J578" s="3"/>
      <c r="K578" s="3" t="s">
        <v>19</v>
      </c>
      <c r="L578" s="3">
        <v>2</v>
      </c>
      <c r="M578" s="4">
        <v>25</v>
      </c>
      <c r="N578">
        <f>L578 * M578</f>
        <v>50</v>
      </c>
      <c r="O578" s="15">
        <f>N578 *$R$3</f>
        <v>0.75</v>
      </c>
    </row>
    <row r="579" spans="1:15" ht="15.75">
      <c r="A579" s="3">
        <v>38</v>
      </c>
      <c r="B579">
        <f>DAY(F579)</f>
        <v>21</v>
      </c>
      <c r="C579" t="str">
        <f>TEXT(F579, "mmmm")</f>
        <v>March</v>
      </c>
      <c r="D579" s="3">
        <f>MONTH(F579)</f>
        <v>3</v>
      </c>
      <c r="E579" s="3">
        <f>YEAR(F579)</f>
        <v>2023</v>
      </c>
      <c r="F579" s="2">
        <v>45006</v>
      </c>
      <c r="G579" s="3" t="s">
        <v>111</v>
      </c>
      <c r="H579" s="3" t="s">
        <v>18</v>
      </c>
      <c r="I579" s="3">
        <v>38</v>
      </c>
      <c r="J579" s="3"/>
      <c r="K579" s="3" t="s">
        <v>19</v>
      </c>
      <c r="L579" s="3">
        <v>4</v>
      </c>
      <c r="M579" s="4">
        <v>50</v>
      </c>
      <c r="N579">
        <f>L579 * M579</f>
        <v>200</v>
      </c>
      <c r="O579" s="15">
        <f>N579 *$R$3</f>
        <v>3</v>
      </c>
    </row>
    <row r="580" spans="1:15" ht="15.75">
      <c r="A580" s="3">
        <v>54</v>
      </c>
      <c r="B580">
        <f>DAY(F580)</f>
        <v>10</v>
      </c>
      <c r="C580" t="str">
        <f>TEXT(F580, "mmmm")</f>
        <v>February</v>
      </c>
      <c r="D580" s="3">
        <f>MONTH(F580)</f>
        <v>2</v>
      </c>
      <c r="E580" s="3">
        <f>YEAR(F580)</f>
        <v>2023</v>
      </c>
      <c r="F580" s="2">
        <v>44967</v>
      </c>
      <c r="G580" s="3" t="s">
        <v>711</v>
      </c>
      <c r="H580" s="3" t="s">
        <v>198</v>
      </c>
      <c r="I580" s="3">
        <v>38</v>
      </c>
      <c r="J580" s="3"/>
      <c r="K580" s="3" t="s">
        <v>196</v>
      </c>
      <c r="L580" s="3">
        <v>3</v>
      </c>
      <c r="M580" s="4">
        <v>500</v>
      </c>
      <c r="N580">
        <f>L580 * M580</f>
        <v>1500</v>
      </c>
      <c r="O580" s="15">
        <f>N580 *$R$3</f>
        <v>22.5</v>
      </c>
    </row>
    <row r="581" spans="1:15" ht="15.75">
      <c r="A581" s="3">
        <v>84</v>
      </c>
      <c r="B581">
        <f>DAY(F581)</f>
        <v>28</v>
      </c>
      <c r="C581" t="str">
        <f>TEXT(F581, "mmmm")</f>
        <v>November</v>
      </c>
      <c r="D581" s="3">
        <f>MONTH(F581)</f>
        <v>11</v>
      </c>
      <c r="E581" s="3">
        <f>YEAR(F581)</f>
        <v>2023</v>
      </c>
      <c r="F581" s="2">
        <v>45258</v>
      </c>
      <c r="G581" s="3" t="s">
        <v>712</v>
      </c>
      <c r="H581" s="3" t="s">
        <v>198</v>
      </c>
      <c r="I581" s="3">
        <v>38</v>
      </c>
      <c r="J581" s="3"/>
      <c r="K581" s="3" t="s">
        <v>196</v>
      </c>
      <c r="L581" s="3">
        <v>3</v>
      </c>
      <c r="M581" s="4">
        <v>30</v>
      </c>
      <c r="N581">
        <f>L581 * M581</f>
        <v>90</v>
      </c>
      <c r="O581" s="15">
        <f>N581 *$R$3</f>
        <v>1.3499999999999999</v>
      </c>
    </row>
    <row r="582" spans="1:15" ht="15.75">
      <c r="A582" s="3">
        <v>140</v>
      </c>
      <c r="B582">
        <f>DAY(F582)</f>
        <v>5</v>
      </c>
      <c r="C582" t="str">
        <f>TEXT(F582, "mmmm")</f>
        <v>August</v>
      </c>
      <c r="D582" s="3">
        <f>MONTH(F582)</f>
        <v>8</v>
      </c>
      <c r="E582" s="3">
        <f>YEAR(F582)</f>
        <v>2023</v>
      </c>
      <c r="F582" s="2">
        <v>45143</v>
      </c>
      <c r="G582" s="3" t="s">
        <v>713</v>
      </c>
      <c r="H582" s="3" t="s">
        <v>18</v>
      </c>
      <c r="I582" s="3">
        <v>38</v>
      </c>
      <c r="J582" s="3"/>
      <c r="K582" s="3" t="s">
        <v>196</v>
      </c>
      <c r="L582" s="3">
        <v>1</v>
      </c>
      <c r="M582" s="4">
        <v>30</v>
      </c>
      <c r="N582">
        <f>L582 * M582</f>
        <v>30</v>
      </c>
      <c r="O582" s="15">
        <f>N582 *$R$3</f>
        <v>0.44999999999999996</v>
      </c>
    </row>
    <row r="583" spans="1:15" ht="15.75">
      <c r="A583" s="3">
        <v>146</v>
      </c>
      <c r="B583">
        <f>DAY(F583)</f>
        <v>28</v>
      </c>
      <c r="C583" t="str">
        <f>TEXT(F583, "mmmm")</f>
        <v>August</v>
      </c>
      <c r="D583" s="3">
        <f>MONTH(F583)</f>
        <v>8</v>
      </c>
      <c r="E583" s="3">
        <f>YEAR(F583)</f>
        <v>2023</v>
      </c>
      <c r="F583" s="2">
        <v>45166</v>
      </c>
      <c r="G583" s="3" t="s">
        <v>714</v>
      </c>
      <c r="H583" s="3" t="s">
        <v>18</v>
      </c>
      <c r="I583" s="3">
        <v>38</v>
      </c>
      <c r="J583" s="3"/>
      <c r="K583" s="3" t="s">
        <v>195</v>
      </c>
      <c r="L583" s="3">
        <v>4</v>
      </c>
      <c r="M583" s="4">
        <v>50</v>
      </c>
      <c r="N583">
        <f>L583 * M583</f>
        <v>200</v>
      </c>
      <c r="O583" s="15">
        <f>N583 *$R$3</f>
        <v>3</v>
      </c>
    </row>
    <row r="584" spans="1:15" ht="15.75">
      <c r="A584" s="3">
        <v>239</v>
      </c>
      <c r="B584">
        <f>DAY(F584)</f>
        <v>19</v>
      </c>
      <c r="C584" t="str">
        <f>TEXT(F584, "mmmm")</f>
        <v>June</v>
      </c>
      <c r="D584" s="3">
        <f>MONTH(F584)</f>
        <v>6</v>
      </c>
      <c r="E584" s="3">
        <f>YEAR(F584)</f>
        <v>2023</v>
      </c>
      <c r="F584" s="2">
        <v>45096</v>
      </c>
      <c r="G584" s="3" t="s">
        <v>715</v>
      </c>
      <c r="H584" s="3" t="s">
        <v>18</v>
      </c>
      <c r="I584" s="3">
        <v>38</v>
      </c>
      <c r="J584" s="3"/>
      <c r="K584" s="3" t="s">
        <v>196</v>
      </c>
      <c r="L584" s="3">
        <v>3</v>
      </c>
      <c r="M584" s="4">
        <v>500</v>
      </c>
      <c r="N584">
        <f>L584 * M584</f>
        <v>1500</v>
      </c>
      <c r="O584" s="15">
        <f>N584 *$R$3</f>
        <v>22.5</v>
      </c>
    </row>
    <row r="585" spans="1:15" ht="15.75">
      <c r="A585" s="3">
        <v>337</v>
      </c>
      <c r="B585">
        <f>DAY(F585)</f>
        <v>1</v>
      </c>
      <c r="C585" t="str">
        <f>TEXT(F585, "mmmm")</f>
        <v>May</v>
      </c>
      <c r="D585" s="3">
        <f>MONTH(F585)</f>
        <v>5</v>
      </c>
      <c r="E585" s="3">
        <f>YEAR(F585)</f>
        <v>2023</v>
      </c>
      <c r="F585" s="2">
        <v>45047</v>
      </c>
      <c r="G585" s="3" t="s">
        <v>716</v>
      </c>
      <c r="H585" s="3" t="s">
        <v>18</v>
      </c>
      <c r="I585" s="3">
        <v>38</v>
      </c>
      <c r="J585" s="3"/>
      <c r="K585" s="3" t="s">
        <v>195</v>
      </c>
      <c r="L585" s="3">
        <v>1</v>
      </c>
      <c r="M585" s="4">
        <v>500</v>
      </c>
      <c r="N585">
        <f>L585 * M585</f>
        <v>500</v>
      </c>
      <c r="O585" s="15">
        <f>N585 *$R$3</f>
        <v>7.5</v>
      </c>
    </row>
    <row r="586" spans="1:15" ht="15.75">
      <c r="A586" s="3">
        <v>464</v>
      </c>
      <c r="B586">
        <f>DAY(F586)</f>
        <v>13</v>
      </c>
      <c r="C586" t="str">
        <f>TEXT(F586, "mmmm")</f>
        <v>January</v>
      </c>
      <c r="D586" s="3">
        <f>MONTH(F586)</f>
        <v>1</v>
      </c>
      <c r="E586" s="3">
        <f>YEAR(F586)</f>
        <v>2023</v>
      </c>
      <c r="F586" s="2">
        <v>44939</v>
      </c>
      <c r="G586" s="3" t="s">
        <v>717</v>
      </c>
      <c r="H586" s="3" t="s">
        <v>18</v>
      </c>
      <c r="I586" s="3">
        <v>38</v>
      </c>
      <c r="J586" s="3"/>
      <c r="K586" s="3" t="s">
        <v>196</v>
      </c>
      <c r="L586" s="3">
        <v>2</v>
      </c>
      <c r="M586" s="4">
        <v>300</v>
      </c>
      <c r="N586">
        <f>L586 * M586</f>
        <v>600</v>
      </c>
      <c r="O586" s="15">
        <f>N586 *$R$3</f>
        <v>9</v>
      </c>
    </row>
    <row r="587" spans="1:15" ht="15.75">
      <c r="A587" s="3">
        <v>472</v>
      </c>
      <c r="B587">
        <f>DAY(F587)</f>
        <v>26</v>
      </c>
      <c r="C587" t="str">
        <f>TEXT(F587, "mmmm")</f>
        <v>December</v>
      </c>
      <c r="D587" s="3">
        <f>MONTH(F587)</f>
        <v>12</v>
      </c>
      <c r="E587" s="3">
        <f>YEAR(F587)</f>
        <v>2023</v>
      </c>
      <c r="F587" s="2">
        <v>45286</v>
      </c>
      <c r="G587" s="3" t="s">
        <v>718</v>
      </c>
      <c r="H587" s="3" t="s">
        <v>198</v>
      </c>
      <c r="I587" s="3">
        <v>38</v>
      </c>
      <c r="J587" s="3"/>
      <c r="K587" s="3" t="s">
        <v>19</v>
      </c>
      <c r="L587" s="3">
        <v>3</v>
      </c>
      <c r="M587" s="4">
        <v>300</v>
      </c>
      <c r="N587">
        <f>L587 * M587</f>
        <v>900</v>
      </c>
      <c r="O587" s="15">
        <f>N587 *$R$3</f>
        <v>13.5</v>
      </c>
    </row>
    <row r="588" spans="1:15" ht="15.75">
      <c r="A588" s="3">
        <v>504</v>
      </c>
      <c r="B588">
        <f>DAY(F588)</f>
        <v>16</v>
      </c>
      <c r="C588" t="str">
        <f>TEXT(F588, "mmmm")</f>
        <v>May</v>
      </c>
      <c r="D588" s="3">
        <f>MONTH(F588)</f>
        <v>5</v>
      </c>
      <c r="E588" s="3">
        <f>YEAR(F588)</f>
        <v>2023</v>
      </c>
      <c r="F588" s="2">
        <v>45062</v>
      </c>
      <c r="G588" s="3" t="s">
        <v>719</v>
      </c>
      <c r="H588" s="3" t="s">
        <v>198</v>
      </c>
      <c r="I588" s="3">
        <v>38</v>
      </c>
      <c r="J588" s="3"/>
      <c r="K588" s="3" t="s">
        <v>19</v>
      </c>
      <c r="L588" s="3">
        <v>3</v>
      </c>
      <c r="M588" s="4">
        <v>50</v>
      </c>
      <c r="N588">
        <f>L588 * M588</f>
        <v>150</v>
      </c>
      <c r="O588" s="15">
        <f>N588 *$R$3</f>
        <v>2.25</v>
      </c>
    </row>
    <row r="589" spans="1:15" ht="15.75">
      <c r="A589" s="3">
        <v>579</v>
      </c>
      <c r="B589">
        <f>DAY(F589)</f>
        <v>21</v>
      </c>
      <c r="C589" t="str">
        <f>TEXT(F589, "mmmm")</f>
        <v>September</v>
      </c>
      <c r="D589" s="3">
        <f>MONTH(F589)</f>
        <v>9</v>
      </c>
      <c r="E589" s="3">
        <f>YEAR(F589)</f>
        <v>2023</v>
      </c>
      <c r="F589" s="2">
        <v>45190</v>
      </c>
      <c r="G589" s="3" t="s">
        <v>720</v>
      </c>
      <c r="H589" s="3" t="s">
        <v>198</v>
      </c>
      <c r="I589" s="3">
        <v>38</v>
      </c>
      <c r="J589" s="3"/>
      <c r="K589" s="3" t="s">
        <v>196</v>
      </c>
      <c r="L589" s="3">
        <v>1</v>
      </c>
      <c r="M589" s="4">
        <v>30</v>
      </c>
      <c r="N589">
        <f>L589 * M589</f>
        <v>30</v>
      </c>
      <c r="O589" s="15">
        <f>N589 *$R$3</f>
        <v>0.44999999999999996</v>
      </c>
    </row>
    <row r="590" spans="1:15" ht="15.75">
      <c r="A590" s="3">
        <v>588</v>
      </c>
      <c r="B590">
        <f>DAY(F590)</f>
        <v>26</v>
      </c>
      <c r="C590" t="str">
        <f>TEXT(F590, "mmmm")</f>
        <v>April</v>
      </c>
      <c r="D590" s="3">
        <f>MONTH(F590)</f>
        <v>4</v>
      </c>
      <c r="E590" s="3">
        <f>YEAR(F590)</f>
        <v>2023</v>
      </c>
      <c r="F590" s="2">
        <v>45042</v>
      </c>
      <c r="G590" s="3" t="s">
        <v>721</v>
      </c>
      <c r="H590" s="3" t="s">
        <v>18</v>
      </c>
      <c r="I590" s="3">
        <v>38</v>
      </c>
      <c r="J590" s="3"/>
      <c r="K590" s="3" t="s">
        <v>196</v>
      </c>
      <c r="L590" s="3">
        <v>2</v>
      </c>
      <c r="M590" s="4">
        <v>30</v>
      </c>
      <c r="N590">
        <f>L590 * M590</f>
        <v>60</v>
      </c>
      <c r="O590" s="15">
        <f>N590 *$R$3</f>
        <v>0.89999999999999991</v>
      </c>
    </row>
    <row r="591" spans="1:15" ht="15.75">
      <c r="A591" s="3">
        <v>646</v>
      </c>
      <c r="B591">
        <f>DAY(F591)</f>
        <v>3</v>
      </c>
      <c r="C591" t="str">
        <f>TEXT(F591, "mmmm")</f>
        <v>May</v>
      </c>
      <c r="D591" s="3">
        <f>MONTH(F591)</f>
        <v>5</v>
      </c>
      <c r="E591" s="3">
        <f>YEAR(F591)</f>
        <v>2023</v>
      </c>
      <c r="F591" s="2">
        <v>45049</v>
      </c>
      <c r="G591" s="3" t="s">
        <v>722</v>
      </c>
      <c r="H591" s="3" t="s">
        <v>18</v>
      </c>
      <c r="I591" s="3">
        <v>38</v>
      </c>
      <c r="J591" s="3"/>
      <c r="K591" s="3" t="s">
        <v>195</v>
      </c>
      <c r="L591" s="3">
        <v>3</v>
      </c>
      <c r="M591" s="4">
        <v>30</v>
      </c>
      <c r="N591">
        <f>L591 * M591</f>
        <v>90</v>
      </c>
      <c r="O591" s="15">
        <f>N591 *$R$3</f>
        <v>1.3499999999999999</v>
      </c>
    </row>
    <row r="592" spans="1:15" ht="15.75">
      <c r="A592" s="3">
        <v>660</v>
      </c>
      <c r="B592">
        <f>DAY(F592)</f>
        <v>29</v>
      </c>
      <c r="C592" t="str">
        <f>TEXT(F592, "mmmm")</f>
        <v>April</v>
      </c>
      <c r="D592" s="3">
        <f>MONTH(F592)</f>
        <v>4</v>
      </c>
      <c r="E592" s="3">
        <f>YEAR(F592)</f>
        <v>2023</v>
      </c>
      <c r="F592" s="2">
        <v>45045</v>
      </c>
      <c r="G592" s="3" t="s">
        <v>723</v>
      </c>
      <c r="H592" s="3" t="s">
        <v>198</v>
      </c>
      <c r="I592" s="3">
        <v>38</v>
      </c>
      <c r="J592" s="3"/>
      <c r="K592" s="3" t="s">
        <v>19</v>
      </c>
      <c r="L592" s="3">
        <v>2</v>
      </c>
      <c r="M592" s="4">
        <v>500</v>
      </c>
      <c r="N592">
        <f>L592 * M592</f>
        <v>1000</v>
      </c>
      <c r="O592" s="15">
        <f>N592 *$R$3</f>
        <v>15</v>
      </c>
    </row>
    <row r="593" spans="1:15" ht="15.75">
      <c r="A593" s="3">
        <v>674</v>
      </c>
      <c r="B593">
        <f>DAY(F593)</f>
        <v>16</v>
      </c>
      <c r="C593" t="str">
        <f>TEXT(F593, "mmmm")</f>
        <v>April</v>
      </c>
      <c r="D593" s="3">
        <f>MONTH(F593)</f>
        <v>4</v>
      </c>
      <c r="E593" s="3">
        <f>YEAR(F593)</f>
        <v>2023</v>
      </c>
      <c r="F593" s="2">
        <v>45032</v>
      </c>
      <c r="G593" s="3" t="s">
        <v>724</v>
      </c>
      <c r="H593" s="3" t="s">
        <v>198</v>
      </c>
      <c r="I593" s="3">
        <v>38</v>
      </c>
      <c r="J593" s="3"/>
      <c r="K593" s="3" t="s">
        <v>195</v>
      </c>
      <c r="L593" s="3">
        <v>1</v>
      </c>
      <c r="M593" s="4">
        <v>300</v>
      </c>
      <c r="N593">
        <f>L593 * M593</f>
        <v>300</v>
      </c>
      <c r="O593" s="15">
        <f>N593 *$R$3</f>
        <v>4.5</v>
      </c>
    </row>
    <row r="594" spans="1:15" ht="15.75">
      <c r="A594" s="3">
        <v>683</v>
      </c>
      <c r="B594">
        <f>DAY(F594)</f>
        <v>4</v>
      </c>
      <c r="C594" t="str">
        <f>TEXT(F594, "mmmm")</f>
        <v>January</v>
      </c>
      <c r="D594" s="3">
        <f>MONTH(F594)</f>
        <v>1</v>
      </c>
      <c r="E594" s="3">
        <f>YEAR(F594)</f>
        <v>2023</v>
      </c>
      <c r="F594" s="2">
        <v>44930</v>
      </c>
      <c r="G594" s="3" t="s">
        <v>139</v>
      </c>
      <c r="H594" s="3" t="s">
        <v>18</v>
      </c>
      <c r="I594" s="3">
        <v>38</v>
      </c>
      <c r="J594" s="3"/>
      <c r="K594" s="3" t="s">
        <v>19</v>
      </c>
      <c r="L594" s="3">
        <v>2</v>
      </c>
      <c r="M594" s="4">
        <v>500</v>
      </c>
      <c r="N594">
        <f>L594 * M594</f>
        <v>1000</v>
      </c>
      <c r="O594" s="15">
        <f>N594 *$R$3</f>
        <v>15</v>
      </c>
    </row>
    <row r="595" spans="1:15" ht="15.75">
      <c r="A595" s="3">
        <v>742</v>
      </c>
      <c r="B595">
        <f>DAY(F595)</f>
        <v>21</v>
      </c>
      <c r="C595" t="str">
        <f>TEXT(F595, "mmmm")</f>
        <v>January</v>
      </c>
      <c r="D595" s="3">
        <f>MONTH(F595)</f>
        <v>1</v>
      </c>
      <c r="E595" s="3">
        <f>YEAR(F595)</f>
        <v>2023</v>
      </c>
      <c r="F595" s="2">
        <v>44947</v>
      </c>
      <c r="G595" s="3" t="s">
        <v>725</v>
      </c>
      <c r="H595" s="3" t="s">
        <v>198</v>
      </c>
      <c r="I595" s="3">
        <v>38</v>
      </c>
      <c r="J595" s="3"/>
      <c r="K595" s="3" t="s">
        <v>196</v>
      </c>
      <c r="L595" s="3">
        <v>4</v>
      </c>
      <c r="M595" s="4">
        <v>500</v>
      </c>
      <c r="N595">
        <f>L595 * M595</f>
        <v>2000</v>
      </c>
      <c r="O595" s="15">
        <f>N595 *$R$3</f>
        <v>30</v>
      </c>
    </row>
    <row r="596" spans="1:15" ht="15.75">
      <c r="A596" s="3">
        <v>766</v>
      </c>
      <c r="B596">
        <f>DAY(F596)</f>
        <v>25</v>
      </c>
      <c r="C596" t="str">
        <f>TEXT(F596, "mmmm")</f>
        <v>February</v>
      </c>
      <c r="D596" s="3">
        <f>MONTH(F596)</f>
        <v>2</v>
      </c>
      <c r="E596" s="3">
        <f>YEAR(F596)</f>
        <v>2023</v>
      </c>
      <c r="F596" s="2">
        <v>44982</v>
      </c>
      <c r="G596" s="3" t="s">
        <v>726</v>
      </c>
      <c r="H596" s="3" t="s">
        <v>18</v>
      </c>
      <c r="I596" s="3">
        <v>38</v>
      </c>
      <c r="J596" s="3"/>
      <c r="K596" s="3" t="s">
        <v>196</v>
      </c>
      <c r="L596" s="3">
        <v>3</v>
      </c>
      <c r="M596" s="4">
        <v>300</v>
      </c>
      <c r="N596">
        <f>L596 * M596</f>
        <v>900</v>
      </c>
      <c r="O596" s="15">
        <f>N596 *$R$3</f>
        <v>13.5</v>
      </c>
    </row>
    <row r="597" spans="1:15" ht="15.75">
      <c r="A597" s="3">
        <v>4</v>
      </c>
      <c r="B597">
        <f>DAY(F597)</f>
        <v>21</v>
      </c>
      <c r="C597" t="str">
        <f>TEXT(F597, "mmmm")</f>
        <v>May</v>
      </c>
      <c r="D597" s="3">
        <f>MONTH(F597)</f>
        <v>5</v>
      </c>
      <c r="E597" s="3">
        <f>YEAR(F597)</f>
        <v>2023</v>
      </c>
      <c r="F597" s="2">
        <v>45067</v>
      </c>
      <c r="G597" s="3" t="s">
        <v>727</v>
      </c>
      <c r="H597" s="3" t="s">
        <v>18</v>
      </c>
      <c r="I597" s="3">
        <v>37</v>
      </c>
      <c r="J597" s="3"/>
      <c r="K597" s="3" t="s">
        <v>195</v>
      </c>
      <c r="L597" s="3">
        <v>1</v>
      </c>
      <c r="M597" s="4">
        <v>500</v>
      </c>
      <c r="N597">
        <f>L597 * M597</f>
        <v>500</v>
      </c>
      <c r="O597" s="15">
        <f>N597 *$R$3</f>
        <v>7.5</v>
      </c>
    </row>
    <row r="598" spans="1:15" ht="15.75">
      <c r="A598" s="3">
        <v>112</v>
      </c>
      <c r="B598">
        <f>DAY(F598)</f>
        <v>2</v>
      </c>
      <c r="C598" t="str">
        <f>TEXT(F598, "mmmm")</f>
        <v>December</v>
      </c>
      <c r="D598" s="3">
        <f>MONTH(F598)</f>
        <v>12</v>
      </c>
      <c r="E598" s="3">
        <f>YEAR(F598)</f>
        <v>2023</v>
      </c>
      <c r="F598" s="2">
        <v>45262</v>
      </c>
      <c r="G598" s="3" t="s">
        <v>728</v>
      </c>
      <c r="H598" s="3" t="s">
        <v>18</v>
      </c>
      <c r="I598" s="3">
        <v>37</v>
      </c>
      <c r="J598" s="3"/>
      <c r="K598" s="3" t="s">
        <v>195</v>
      </c>
      <c r="L598" s="3">
        <v>3</v>
      </c>
      <c r="M598" s="4">
        <v>500</v>
      </c>
      <c r="N598">
        <f>L598 * M598</f>
        <v>1500</v>
      </c>
      <c r="O598" s="15">
        <f>N598 *$R$3</f>
        <v>22.5</v>
      </c>
    </row>
    <row r="599" spans="1:15" ht="15.75">
      <c r="A599" s="3">
        <v>210</v>
      </c>
      <c r="B599">
        <f>DAY(F599)</f>
        <v>13</v>
      </c>
      <c r="C599" t="str">
        <f>TEXT(F599, "mmmm")</f>
        <v>April</v>
      </c>
      <c r="D599" s="3">
        <f>MONTH(F599)</f>
        <v>4</v>
      </c>
      <c r="E599" s="3">
        <f>YEAR(F599)</f>
        <v>2023</v>
      </c>
      <c r="F599" s="2">
        <v>45029</v>
      </c>
      <c r="G599" s="3" t="s">
        <v>729</v>
      </c>
      <c r="H599" s="3" t="s">
        <v>18</v>
      </c>
      <c r="I599" s="3">
        <v>37</v>
      </c>
      <c r="J599" s="3"/>
      <c r="K599" s="3" t="s">
        <v>196</v>
      </c>
      <c r="L599" s="3">
        <v>4</v>
      </c>
      <c r="M599" s="4">
        <v>50</v>
      </c>
      <c r="N599">
        <f>L599 * M599</f>
        <v>200</v>
      </c>
      <c r="O599" s="15">
        <f>N599 *$R$3</f>
        <v>3</v>
      </c>
    </row>
    <row r="600" spans="1:15" ht="15.75">
      <c r="A600" s="3">
        <v>258</v>
      </c>
      <c r="B600">
        <f>DAY(F600)</f>
        <v>4</v>
      </c>
      <c r="C600" t="str">
        <f>TEXT(F600, "mmmm")</f>
        <v>December</v>
      </c>
      <c r="D600" s="3">
        <f>MONTH(F600)</f>
        <v>12</v>
      </c>
      <c r="E600" s="3">
        <f>YEAR(F600)</f>
        <v>2023</v>
      </c>
      <c r="F600" s="2">
        <v>45264</v>
      </c>
      <c r="G600" s="3" t="s">
        <v>730</v>
      </c>
      <c r="H600" s="3" t="s">
        <v>198</v>
      </c>
      <c r="I600" s="3">
        <v>37</v>
      </c>
      <c r="J600" s="3"/>
      <c r="K600" s="3" t="s">
        <v>195</v>
      </c>
      <c r="L600" s="3">
        <v>1</v>
      </c>
      <c r="M600" s="4">
        <v>50</v>
      </c>
      <c r="N600">
        <f>L600 * M600</f>
        <v>50</v>
      </c>
      <c r="O600" s="15">
        <f>N600 *$R$3</f>
        <v>0.75</v>
      </c>
    </row>
    <row r="601" spans="1:15" ht="15.75">
      <c r="A601" s="3">
        <v>278</v>
      </c>
      <c r="B601">
        <f>DAY(F601)</f>
        <v>13</v>
      </c>
      <c r="C601" t="str">
        <f>TEXT(F601, "mmmm")</f>
        <v>March</v>
      </c>
      <c r="D601" s="3">
        <f>MONTH(F601)</f>
        <v>3</v>
      </c>
      <c r="E601" s="3">
        <f>YEAR(F601)</f>
        <v>2023</v>
      </c>
      <c r="F601" s="2">
        <v>44998</v>
      </c>
      <c r="G601" s="3" t="s">
        <v>731</v>
      </c>
      <c r="H601" s="3" t="s">
        <v>198</v>
      </c>
      <c r="I601" s="3">
        <v>37</v>
      </c>
      <c r="J601" s="3"/>
      <c r="K601" s="3" t="s">
        <v>195</v>
      </c>
      <c r="L601" s="3">
        <v>4</v>
      </c>
      <c r="M601" s="4">
        <v>25</v>
      </c>
      <c r="N601">
        <f>L601 * M601</f>
        <v>100</v>
      </c>
      <c r="O601" s="15">
        <f>N601 *$R$3</f>
        <v>1.5</v>
      </c>
    </row>
    <row r="602" spans="1:15" ht="15.75">
      <c r="A602" s="3">
        <v>280</v>
      </c>
      <c r="B602">
        <f>DAY(F602)</f>
        <v>4</v>
      </c>
      <c r="C602" t="str">
        <f>TEXT(F602, "mmmm")</f>
        <v>April</v>
      </c>
      <c r="D602" s="3">
        <f>MONTH(F602)</f>
        <v>4</v>
      </c>
      <c r="E602" s="3">
        <f>YEAR(F602)</f>
        <v>2023</v>
      </c>
      <c r="F602" s="2">
        <v>45020</v>
      </c>
      <c r="G602" s="3" t="s">
        <v>732</v>
      </c>
      <c r="H602" s="3" t="s">
        <v>198</v>
      </c>
      <c r="I602" s="3">
        <v>37</v>
      </c>
      <c r="J602" s="3"/>
      <c r="K602" s="3" t="s">
        <v>195</v>
      </c>
      <c r="L602" s="3">
        <v>3</v>
      </c>
      <c r="M602" s="4">
        <v>500</v>
      </c>
      <c r="N602">
        <f>L602 * M602</f>
        <v>1500</v>
      </c>
      <c r="O602" s="15">
        <f>N602 *$R$3</f>
        <v>22.5</v>
      </c>
    </row>
    <row r="603" spans="1:15" ht="15.75">
      <c r="A603" s="3">
        <v>304</v>
      </c>
      <c r="B603">
        <f>DAY(F603)</f>
        <v>19</v>
      </c>
      <c r="C603" t="str">
        <f>TEXT(F603, "mmmm")</f>
        <v>July</v>
      </c>
      <c r="D603" s="3">
        <f>MONTH(F603)</f>
        <v>7</v>
      </c>
      <c r="E603" s="3">
        <f>YEAR(F603)</f>
        <v>2023</v>
      </c>
      <c r="F603" s="2">
        <v>45126</v>
      </c>
      <c r="G603" s="3" t="s">
        <v>733</v>
      </c>
      <c r="H603" s="3" t="s">
        <v>198</v>
      </c>
      <c r="I603" s="3">
        <v>37</v>
      </c>
      <c r="J603" s="3"/>
      <c r="K603" s="3" t="s">
        <v>196</v>
      </c>
      <c r="L603" s="3">
        <v>2</v>
      </c>
      <c r="M603" s="4">
        <v>30</v>
      </c>
      <c r="N603">
        <f>L603 * M603</f>
        <v>60</v>
      </c>
      <c r="O603" s="15">
        <f>N603 *$R$3</f>
        <v>0.89999999999999991</v>
      </c>
    </row>
    <row r="604" spans="1:15" ht="15.75">
      <c r="A604" s="3">
        <v>421</v>
      </c>
      <c r="B604">
        <f>DAY(F604)</f>
        <v>2</v>
      </c>
      <c r="C604" t="str">
        <f>TEXT(F604, "mmmm")</f>
        <v>January</v>
      </c>
      <c r="D604" s="3">
        <f>MONTH(F604)</f>
        <v>1</v>
      </c>
      <c r="E604" s="3">
        <f>YEAR(F604)</f>
        <v>2023</v>
      </c>
      <c r="F604" s="2">
        <v>44928</v>
      </c>
      <c r="G604" s="3" t="s">
        <v>734</v>
      </c>
      <c r="H604" s="3" t="s">
        <v>198</v>
      </c>
      <c r="I604" s="3">
        <v>37</v>
      </c>
      <c r="J604" s="3"/>
      <c r="K604" s="3" t="s">
        <v>195</v>
      </c>
      <c r="L604" s="3">
        <v>3</v>
      </c>
      <c r="M604" s="4">
        <v>500</v>
      </c>
      <c r="N604">
        <f>L604 * M604</f>
        <v>1500</v>
      </c>
      <c r="O604" s="15">
        <f>N604 *$R$3</f>
        <v>22.5</v>
      </c>
    </row>
    <row r="605" spans="1:15" ht="15.75">
      <c r="A605" s="3">
        <v>507</v>
      </c>
      <c r="B605">
        <f>DAY(F605)</f>
        <v>2</v>
      </c>
      <c r="C605" t="str">
        <f>TEXT(F605, "mmmm")</f>
        <v>November</v>
      </c>
      <c r="D605" s="3">
        <f>MONTH(F605)</f>
        <v>11</v>
      </c>
      <c r="E605" s="3">
        <f>YEAR(F605)</f>
        <v>2023</v>
      </c>
      <c r="F605" s="2">
        <v>45232</v>
      </c>
      <c r="G605" s="3" t="s">
        <v>735</v>
      </c>
      <c r="H605" s="3" t="s">
        <v>198</v>
      </c>
      <c r="I605" s="3">
        <v>37</v>
      </c>
      <c r="J605" s="3"/>
      <c r="K605" s="3" t="s">
        <v>196</v>
      </c>
      <c r="L605" s="3">
        <v>3</v>
      </c>
      <c r="M605" s="4">
        <v>500</v>
      </c>
      <c r="N605">
        <f>L605 * M605</f>
        <v>1500</v>
      </c>
      <c r="O605" s="15">
        <f>N605 *$R$3</f>
        <v>22.5</v>
      </c>
    </row>
    <row r="606" spans="1:15" ht="15.75">
      <c r="A606" s="3">
        <v>509</v>
      </c>
      <c r="B606">
        <f>DAY(F606)</f>
        <v>26</v>
      </c>
      <c r="C606" t="str">
        <f>TEXT(F606, "mmmm")</f>
        <v>June</v>
      </c>
      <c r="D606" s="3">
        <f>MONTH(F606)</f>
        <v>6</v>
      </c>
      <c r="E606" s="3">
        <f>YEAR(F606)</f>
        <v>2023</v>
      </c>
      <c r="F606" s="2">
        <v>45103</v>
      </c>
      <c r="G606" s="3" t="s">
        <v>736</v>
      </c>
      <c r="H606" s="3" t="s">
        <v>198</v>
      </c>
      <c r="I606" s="3">
        <v>37</v>
      </c>
      <c r="J606" s="3"/>
      <c r="K606" s="3" t="s">
        <v>196</v>
      </c>
      <c r="L606" s="3">
        <v>3</v>
      </c>
      <c r="M606" s="4">
        <v>300</v>
      </c>
      <c r="N606">
        <f>L606 * M606</f>
        <v>900</v>
      </c>
      <c r="O606" s="15">
        <f>N606 *$R$3</f>
        <v>13.5</v>
      </c>
    </row>
    <row r="607" spans="1:15" ht="15.75">
      <c r="A607" s="3">
        <v>598</v>
      </c>
      <c r="B607">
        <f>DAY(F607)</f>
        <v>1</v>
      </c>
      <c r="C607" t="str">
        <f>TEXT(F607, "mmmm")</f>
        <v>August</v>
      </c>
      <c r="D607" s="3">
        <f>MONTH(F607)</f>
        <v>8</v>
      </c>
      <c r="E607" s="3">
        <f>YEAR(F607)</f>
        <v>2023</v>
      </c>
      <c r="F607" s="2">
        <v>45139</v>
      </c>
      <c r="G607" s="3" t="s">
        <v>101</v>
      </c>
      <c r="H607" s="3" t="s">
        <v>18</v>
      </c>
      <c r="I607" s="3">
        <v>37</v>
      </c>
      <c r="J607" s="3"/>
      <c r="K607" s="3" t="s">
        <v>19</v>
      </c>
      <c r="L607" s="3">
        <v>4</v>
      </c>
      <c r="M607" s="4">
        <v>30</v>
      </c>
      <c r="N607">
        <f>L607 * M607</f>
        <v>120</v>
      </c>
      <c r="O607" s="15">
        <f>N607 *$R$3</f>
        <v>1.7999999999999998</v>
      </c>
    </row>
    <row r="608" spans="1:15" ht="15.75">
      <c r="A608" s="3">
        <v>605</v>
      </c>
      <c r="B608">
        <f>DAY(F608)</f>
        <v>24</v>
      </c>
      <c r="C608" t="str">
        <f>TEXT(F608, "mmmm")</f>
        <v>July</v>
      </c>
      <c r="D608" s="3">
        <f>MONTH(F608)</f>
        <v>7</v>
      </c>
      <c r="E608" s="3">
        <f>YEAR(F608)</f>
        <v>2023</v>
      </c>
      <c r="F608" s="2">
        <v>45131</v>
      </c>
      <c r="G608" s="3" t="s">
        <v>737</v>
      </c>
      <c r="H608" s="3" t="s">
        <v>18</v>
      </c>
      <c r="I608" s="3">
        <v>37</v>
      </c>
      <c r="J608" s="3"/>
      <c r="K608" s="3" t="s">
        <v>196</v>
      </c>
      <c r="L608" s="3">
        <v>2</v>
      </c>
      <c r="M608" s="4">
        <v>500</v>
      </c>
      <c r="N608">
        <f>L608 * M608</f>
        <v>1000</v>
      </c>
      <c r="O608" s="15">
        <f>N608 *$R$3</f>
        <v>15</v>
      </c>
    </row>
    <row r="609" spans="1:15" ht="15.75">
      <c r="A609" s="3">
        <v>699</v>
      </c>
      <c r="B609">
        <f>DAY(F609)</f>
        <v>22</v>
      </c>
      <c r="C609" t="str">
        <f>TEXT(F609, "mmmm")</f>
        <v>June</v>
      </c>
      <c r="D609" s="3">
        <f>MONTH(F609)</f>
        <v>6</v>
      </c>
      <c r="E609" s="3">
        <f>YEAR(F609)</f>
        <v>2023</v>
      </c>
      <c r="F609" s="2">
        <v>45099</v>
      </c>
      <c r="G609" s="3" t="s">
        <v>738</v>
      </c>
      <c r="H609" s="3" t="s">
        <v>198</v>
      </c>
      <c r="I609" s="3">
        <v>37</v>
      </c>
      <c r="J609" s="3"/>
      <c r="K609" s="3" t="s">
        <v>195</v>
      </c>
      <c r="L609" s="3">
        <v>4</v>
      </c>
      <c r="M609" s="4">
        <v>30</v>
      </c>
      <c r="N609">
        <f>L609 * M609</f>
        <v>120</v>
      </c>
      <c r="O609" s="15">
        <f>N609 *$R$3</f>
        <v>1.7999999999999998</v>
      </c>
    </row>
    <row r="610" spans="1:15" ht="15.75">
      <c r="A610" s="3">
        <v>835</v>
      </c>
      <c r="B610">
        <f>DAY(F610)</f>
        <v>7</v>
      </c>
      <c r="C610" t="str">
        <f>TEXT(F610, "mmmm")</f>
        <v>September</v>
      </c>
      <c r="D610" s="3">
        <f>MONTH(F610)</f>
        <v>9</v>
      </c>
      <c r="E610" s="3">
        <f>YEAR(F610)</f>
        <v>2023</v>
      </c>
      <c r="F610" s="2">
        <v>45176</v>
      </c>
      <c r="G610" s="3" t="s">
        <v>739</v>
      </c>
      <c r="H610" s="3" t="s">
        <v>18</v>
      </c>
      <c r="I610" s="3">
        <v>37</v>
      </c>
      <c r="J610" s="3"/>
      <c r="K610" s="3" t="s">
        <v>195</v>
      </c>
      <c r="L610" s="3">
        <v>4</v>
      </c>
      <c r="M610" s="4">
        <v>50</v>
      </c>
      <c r="N610">
        <f>L610 * M610</f>
        <v>200</v>
      </c>
      <c r="O610" s="15">
        <f>N610 *$R$3</f>
        <v>3</v>
      </c>
    </row>
    <row r="611" spans="1:15" ht="15.75">
      <c r="A611" s="3">
        <v>869</v>
      </c>
      <c r="B611">
        <f>DAY(F611)</f>
        <v>25</v>
      </c>
      <c r="C611" t="str">
        <f>TEXT(F611, "mmmm")</f>
        <v>October</v>
      </c>
      <c r="D611" s="3">
        <f>MONTH(F611)</f>
        <v>10</v>
      </c>
      <c r="E611" s="3">
        <f>YEAR(F611)</f>
        <v>2023</v>
      </c>
      <c r="F611" s="2">
        <v>45224</v>
      </c>
      <c r="G611" s="3" t="s">
        <v>153</v>
      </c>
      <c r="H611" s="3" t="s">
        <v>18</v>
      </c>
      <c r="I611" s="3">
        <v>37</v>
      </c>
      <c r="J611" s="3"/>
      <c r="K611" s="3" t="s">
        <v>19</v>
      </c>
      <c r="L611" s="3">
        <v>3</v>
      </c>
      <c r="M611" s="4">
        <v>500</v>
      </c>
      <c r="N611">
        <f>L611 * M611</f>
        <v>1500</v>
      </c>
      <c r="O611" s="15">
        <f>N611 *$R$3</f>
        <v>22.5</v>
      </c>
    </row>
    <row r="612" spans="1:15" ht="15.75">
      <c r="A612" s="3">
        <v>886</v>
      </c>
      <c r="B612">
        <f>DAY(F612)</f>
        <v>9</v>
      </c>
      <c r="C612" t="str">
        <f>TEXT(F612, "mmmm")</f>
        <v>April</v>
      </c>
      <c r="D612" s="3">
        <f>MONTH(F612)</f>
        <v>4</v>
      </c>
      <c r="E612" s="3">
        <f>YEAR(F612)</f>
        <v>2023</v>
      </c>
      <c r="F612" s="2">
        <v>45025</v>
      </c>
      <c r="G612" s="3" t="s">
        <v>740</v>
      </c>
      <c r="H612" s="3" t="s">
        <v>18</v>
      </c>
      <c r="I612" s="3">
        <v>37</v>
      </c>
      <c r="J612" s="3"/>
      <c r="K612" s="3" t="s">
        <v>196</v>
      </c>
      <c r="L612" s="3">
        <v>3</v>
      </c>
      <c r="M612" s="4">
        <v>300</v>
      </c>
      <c r="N612">
        <f>L612 * M612</f>
        <v>900</v>
      </c>
      <c r="O612" s="15">
        <f>N612 *$R$3</f>
        <v>13.5</v>
      </c>
    </row>
    <row r="613" spans="1:15" ht="15.75">
      <c r="A613" s="3">
        <v>52</v>
      </c>
      <c r="B613">
        <f>DAY(F613)</f>
        <v>5</v>
      </c>
      <c r="C613" t="str">
        <f>TEXT(F613, "mmmm")</f>
        <v>March</v>
      </c>
      <c r="D613" s="3">
        <f>MONTH(F613)</f>
        <v>3</v>
      </c>
      <c r="E613" s="3">
        <f>YEAR(F613)</f>
        <v>2023</v>
      </c>
      <c r="F613" s="2">
        <v>44990</v>
      </c>
      <c r="G613" s="3" t="s">
        <v>741</v>
      </c>
      <c r="H613" s="3" t="s">
        <v>198</v>
      </c>
      <c r="I613" s="3">
        <v>36</v>
      </c>
      <c r="J613" s="3"/>
      <c r="K613" s="3" t="s">
        <v>19</v>
      </c>
      <c r="L613" s="3">
        <v>1</v>
      </c>
      <c r="M613" s="4">
        <v>300</v>
      </c>
      <c r="N613">
        <f>L613 * M613</f>
        <v>300</v>
      </c>
      <c r="O613" s="15">
        <f>N613 *$R$3</f>
        <v>4.5</v>
      </c>
    </row>
    <row r="614" spans="1:15" ht="15.75">
      <c r="A614" s="3">
        <v>139</v>
      </c>
      <c r="B614">
        <f>DAY(F614)</f>
        <v>15</v>
      </c>
      <c r="C614" t="str">
        <f>TEXT(F614, "mmmm")</f>
        <v>December</v>
      </c>
      <c r="D614" s="3">
        <f>MONTH(F614)</f>
        <v>12</v>
      </c>
      <c r="E614" s="3">
        <f>YEAR(F614)</f>
        <v>2023</v>
      </c>
      <c r="F614" s="2">
        <v>45275</v>
      </c>
      <c r="G614" s="3" t="s">
        <v>170</v>
      </c>
      <c r="H614" s="3" t="s">
        <v>18</v>
      </c>
      <c r="I614" s="3">
        <v>36</v>
      </c>
      <c r="J614" s="3"/>
      <c r="K614" s="3" t="s">
        <v>19</v>
      </c>
      <c r="L614" s="3">
        <v>4</v>
      </c>
      <c r="M614" s="4">
        <v>500</v>
      </c>
      <c r="N614">
        <f>L614 * M614</f>
        <v>2000</v>
      </c>
      <c r="O614" s="15">
        <f>N614 *$R$3</f>
        <v>30</v>
      </c>
    </row>
    <row r="615" spans="1:15" ht="15.75">
      <c r="A615" s="3">
        <v>227</v>
      </c>
      <c r="B615">
        <f>DAY(F615)</f>
        <v>11</v>
      </c>
      <c r="C615" t="str">
        <f>TEXT(F615, "mmmm")</f>
        <v>October</v>
      </c>
      <c r="D615" s="3">
        <f>MONTH(F615)</f>
        <v>10</v>
      </c>
      <c r="E615" s="3">
        <f>YEAR(F615)</f>
        <v>2023</v>
      </c>
      <c r="F615" s="2">
        <v>45210</v>
      </c>
      <c r="G615" s="3" t="s">
        <v>742</v>
      </c>
      <c r="H615" s="3" t="s">
        <v>18</v>
      </c>
      <c r="I615" s="3">
        <v>36</v>
      </c>
      <c r="J615" s="3"/>
      <c r="K615" s="3" t="s">
        <v>196</v>
      </c>
      <c r="L615" s="3">
        <v>2</v>
      </c>
      <c r="M615" s="4">
        <v>50</v>
      </c>
      <c r="N615">
        <f>L615 * M615</f>
        <v>100</v>
      </c>
      <c r="O615" s="15">
        <f>N615 *$R$3</f>
        <v>1.5</v>
      </c>
    </row>
    <row r="616" spans="1:15" ht="15.75">
      <c r="A616" s="3">
        <v>277</v>
      </c>
      <c r="B616">
        <f>DAY(F616)</f>
        <v>18</v>
      </c>
      <c r="C616" t="str">
        <f>TEXT(F616, "mmmm")</f>
        <v>August</v>
      </c>
      <c r="D616" s="3">
        <f>MONTH(F616)</f>
        <v>8</v>
      </c>
      <c r="E616" s="3">
        <f>YEAR(F616)</f>
        <v>2023</v>
      </c>
      <c r="F616" s="2">
        <v>45156</v>
      </c>
      <c r="G616" s="3" t="s">
        <v>743</v>
      </c>
      <c r="H616" s="3" t="s">
        <v>18</v>
      </c>
      <c r="I616" s="3">
        <v>36</v>
      </c>
      <c r="J616" s="3"/>
      <c r="K616" s="3" t="s">
        <v>195</v>
      </c>
      <c r="L616" s="3">
        <v>4</v>
      </c>
      <c r="M616" s="4">
        <v>25</v>
      </c>
      <c r="N616">
        <f>L616 * M616</f>
        <v>100</v>
      </c>
      <c r="O616" s="15">
        <f>N616 *$R$3</f>
        <v>1.5</v>
      </c>
    </row>
    <row r="617" spans="1:15" ht="15.75">
      <c r="A617" s="3">
        <v>340</v>
      </c>
      <c r="B617">
        <f>DAY(F617)</f>
        <v>19</v>
      </c>
      <c r="C617" t="str">
        <f>TEXT(F617, "mmmm")</f>
        <v>October</v>
      </c>
      <c r="D617" s="3">
        <f>MONTH(F617)</f>
        <v>10</v>
      </c>
      <c r="E617" s="3">
        <f>YEAR(F617)</f>
        <v>2023</v>
      </c>
      <c r="F617" s="2">
        <v>45218</v>
      </c>
      <c r="G617" s="3" t="s">
        <v>744</v>
      </c>
      <c r="H617" s="3" t="s">
        <v>198</v>
      </c>
      <c r="I617" s="3">
        <v>36</v>
      </c>
      <c r="J617" s="3"/>
      <c r="K617" s="3" t="s">
        <v>195</v>
      </c>
      <c r="L617" s="3">
        <v>4</v>
      </c>
      <c r="M617" s="4">
        <v>300</v>
      </c>
      <c r="N617">
        <f>L617 * M617</f>
        <v>1200</v>
      </c>
      <c r="O617" s="15">
        <f>N617 *$R$3</f>
        <v>18</v>
      </c>
    </row>
    <row r="618" spans="1:15" ht="15.75">
      <c r="A618" s="3">
        <v>519</v>
      </c>
      <c r="B618">
        <f>DAY(F618)</f>
        <v>23</v>
      </c>
      <c r="C618" t="str">
        <f>TEXT(F618, "mmmm")</f>
        <v>January</v>
      </c>
      <c r="D618" s="3">
        <f>MONTH(F618)</f>
        <v>1</v>
      </c>
      <c r="E618" s="3">
        <f>YEAR(F618)</f>
        <v>2023</v>
      </c>
      <c r="F618" s="2">
        <v>44949</v>
      </c>
      <c r="G618" s="3" t="s">
        <v>745</v>
      </c>
      <c r="H618" s="3" t="s">
        <v>198</v>
      </c>
      <c r="I618" s="3">
        <v>36</v>
      </c>
      <c r="J618" s="3"/>
      <c r="K618" s="3" t="s">
        <v>196</v>
      </c>
      <c r="L618" s="3">
        <v>4</v>
      </c>
      <c r="M618" s="4">
        <v>30</v>
      </c>
      <c r="N618">
        <f>L618 * M618</f>
        <v>120</v>
      </c>
      <c r="O618" s="15">
        <f>N618 *$R$3</f>
        <v>1.7999999999999998</v>
      </c>
    </row>
    <row r="619" spans="1:15" ht="15.75">
      <c r="A619" s="3">
        <v>528</v>
      </c>
      <c r="B619">
        <f>DAY(F619)</f>
        <v>6</v>
      </c>
      <c r="C619" t="str">
        <f>TEXT(F619, "mmmm")</f>
        <v>July</v>
      </c>
      <c r="D619" s="3">
        <f>MONTH(F619)</f>
        <v>7</v>
      </c>
      <c r="E619" s="3">
        <f>YEAR(F619)</f>
        <v>2023</v>
      </c>
      <c r="F619" s="2">
        <v>45113</v>
      </c>
      <c r="G619" s="3" t="s">
        <v>746</v>
      </c>
      <c r="H619" s="3" t="s">
        <v>198</v>
      </c>
      <c r="I619" s="3">
        <v>36</v>
      </c>
      <c r="J619" s="3"/>
      <c r="K619" s="3" t="s">
        <v>195</v>
      </c>
      <c r="L619" s="3">
        <v>2</v>
      </c>
      <c r="M619" s="4">
        <v>30</v>
      </c>
      <c r="N619">
        <f>L619 * M619</f>
        <v>60</v>
      </c>
      <c r="O619" s="15">
        <f>N619 *$R$3</f>
        <v>0.89999999999999991</v>
      </c>
    </row>
    <row r="620" spans="1:15" ht="15.75">
      <c r="A620" s="3">
        <v>546</v>
      </c>
      <c r="B620">
        <f>DAY(F620)</f>
        <v>11</v>
      </c>
      <c r="C620" t="str">
        <f>TEXT(F620, "mmmm")</f>
        <v>October</v>
      </c>
      <c r="D620" s="3">
        <f>MONTH(F620)</f>
        <v>10</v>
      </c>
      <c r="E620" s="3">
        <f>YEAR(F620)</f>
        <v>2023</v>
      </c>
      <c r="F620" s="2">
        <v>45210</v>
      </c>
      <c r="G620" s="3" t="s">
        <v>747</v>
      </c>
      <c r="H620" s="3" t="s">
        <v>198</v>
      </c>
      <c r="I620" s="3">
        <v>36</v>
      </c>
      <c r="J620" s="3"/>
      <c r="K620" s="3" t="s">
        <v>196</v>
      </c>
      <c r="L620" s="3">
        <v>4</v>
      </c>
      <c r="M620" s="4">
        <v>50</v>
      </c>
      <c r="N620">
        <f>L620 * M620</f>
        <v>200</v>
      </c>
      <c r="O620" s="15">
        <f>N620 *$R$3</f>
        <v>3</v>
      </c>
    </row>
    <row r="621" spans="1:15" ht="15.75">
      <c r="A621" s="3">
        <v>589</v>
      </c>
      <c r="B621">
        <f>DAY(F621)</f>
        <v>12</v>
      </c>
      <c r="C621" t="str">
        <f>TEXT(F621, "mmmm")</f>
        <v>April</v>
      </c>
      <c r="D621" s="3">
        <f>MONTH(F621)</f>
        <v>4</v>
      </c>
      <c r="E621" s="3">
        <f>YEAR(F621)</f>
        <v>2023</v>
      </c>
      <c r="F621" s="2">
        <v>45028</v>
      </c>
      <c r="G621" s="3" t="s">
        <v>748</v>
      </c>
      <c r="H621" s="3" t="s">
        <v>198</v>
      </c>
      <c r="I621" s="3">
        <v>36</v>
      </c>
      <c r="J621" s="3"/>
      <c r="K621" s="3" t="s">
        <v>19</v>
      </c>
      <c r="L621" s="3">
        <v>2</v>
      </c>
      <c r="M621" s="4">
        <v>500</v>
      </c>
      <c r="N621">
        <f>L621 * M621</f>
        <v>1000</v>
      </c>
      <c r="O621" s="15">
        <f>N621 *$R$3</f>
        <v>15</v>
      </c>
    </row>
    <row r="622" spans="1:15" ht="15.75">
      <c r="A622" s="3">
        <v>590</v>
      </c>
      <c r="B622">
        <f>DAY(F622)</f>
        <v>17</v>
      </c>
      <c r="C622" t="str">
        <f>TEXT(F622, "mmmm")</f>
        <v>March</v>
      </c>
      <c r="D622" s="3">
        <f>MONTH(F622)</f>
        <v>3</v>
      </c>
      <c r="E622" s="3">
        <f>YEAR(F622)</f>
        <v>2023</v>
      </c>
      <c r="F622" s="2">
        <v>45002</v>
      </c>
      <c r="G622" s="3" t="s">
        <v>749</v>
      </c>
      <c r="H622" s="3" t="s">
        <v>18</v>
      </c>
      <c r="I622" s="3">
        <v>36</v>
      </c>
      <c r="J622" s="3"/>
      <c r="K622" s="3" t="s">
        <v>195</v>
      </c>
      <c r="L622" s="3">
        <v>3</v>
      </c>
      <c r="M622" s="4">
        <v>300</v>
      </c>
      <c r="N622">
        <f>L622 * M622</f>
        <v>900</v>
      </c>
      <c r="O622" s="15">
        <f>N622 *$R$3</f>
        <v>13.5</v>
      </c>
    </row>
    <row r="623" spans="1:15" ht="15.75">
      <c r="A623" s="3">
        <v>700</v>
      </c>
      <c r="B623">
        <f>DAY(F623)</f>
        <v>9</v>
      </c>
      <c r="C623" t="str">
        <f>TEXT(F623, "mmmm")</f>
        <v>December</v>
      </c>
      <c r="D623" s="3">
        <f>MONTH(F623)</f>
        <v>12</v>
      </c>
      <c r="E623" s="3">
        <f>YEAR(F623)</f>
        <v>2023</v>
      </c>
      <c r="F623" s="2">
        <v>45269</v>
      </c>
      <c r="G623" s="3" t="s">
        <v>750</v>
      </c>
      <c r="H623" s="3" t="s">
        <v>18</v>
      </c>
      <c r="I623" s="3">
        <v>36</v>
      </c>
      <c r="J623" s="3"/>
      <c r="K623" s="3" t="s">
        <v>196</v>
      </c>
      <c r="L623" s="3">
        <v>4</v>
      </c>
      <c r="M623" s="4">
        <v>500</v>
      </c>
      <c r="N623">
        <f>L623 * M623</f>
        <v>2000</v>
      </c>
      <c r="O623" s="15">
        <f>N623 *$R$3</f>
        <v>30</v>
      </c>
    </row>
    <row r="624" spans="1:15" ht="15.75">
      <c r="A624" s="3">
        <v>730</v>
      </c>
      <c r="B624">
        <f>DAY(F624)</f>
        <v>4</v>
      </c>
      <c r="C624" t="str">
        <f>TEXT(F624, "mmmm")</f>
        <v>August</v>
      </c>
      <c r="D624" s="3">
        <f>MONTH(F624)</f>
        <v>8</v>
      </c>
      <c r="E624" s="3">
        <f>YEAR(F624)</f>
        <v>2023</v>
      </c>
      <c r="F624" s="2">
        <v>45142</v>
      </c>
      <c r="G624" s="3" t="s">
        <v>751</v>
      </c>
      <c r="H624" s="3" t="s">
        <v>198</v>
      </c>
      <c r="I624" s="3">
        <v>36</v>
      </c>
      <c r="J624" s="3"/>
      <c r="K624" s="3" t="s">
        <v>195</v>
      </c>
      <c r="L624" s="3">
        <v>2</v>
      </c>
      <c r="M624" s="4">
        <v>25</v>
      </c>
      <c r="N624">
        <f>L624 * M624</f>
        <v>50</v>
      </c>
      <c r="O624" s="15">
        <f>N624 *$R$3</f>
        <v>0.75</v>
      </c>
    </row>
    <row r="625" spans="1:15" ht="15.75">
      <c r="A625" s="3">
        <v>739</v>
      </c>
      <c r="B625">
        <f>DAY(F625)</f>
        <v>29</v>
      </c>
      <c r="C625" t="str">
        <f>TEXT(F625, "mmmm")</f>
        <v>November</v>
      </c>
      <c r="D625" s="3">
        <f>MONTH(F625)</f>
        <v>11</v>
      </c>
      <c r="E625" s="3">
        <f>YEAR(F625)</f>
        <v>2023</v>
      </c>
      <c r="F625" s="2">
        <v>45259</v>
      </c>
      <c r="G625" s="3" t="s">
        <v>25</v>
      </c>
      <c r="H625" s="3" t="s">
        <v>18</v>
      </c>
      <c r="I625" s="3">
        <v>36</v>
      </c>
      <c r="J625" s="3"/>
      <c r="K625" s="3" t="s">
        <v>19</v>
      </c>
      <c r="L625" s="3">
        <v>1</v>
      </c>
      <c r="M625" s="4">
        <v>25</v>
      </c>
      <c r="N625">
        <f>L625 * M625</f>
        <v>25</v>
      </c>
      <c r="O625" s="15">
        <f>N625 *$R$3</f>
        <v>0.375</v>
      </c>
    </row>
    <row r="626" spans="1:15" ht="15.75">
      <c r="A626" s="3">
        <v>950</v>
      </c>
      <c r="B626">
        <f>DAY(F626)</f>
        <v>7</v>
      </c>
      <c r="C626" t="str">
        <f>TEXT(F626, "mmmm")</f>
        <v>November</v>
      </c>
      <c r="D626" s="3">
        <f>MONTH(F626)</f>
        <v>11</v>
      </c>
      <c r="E626" s="3">
        <f>YEAR(F626)</f>
        <v>2023</v>
      </c>
      <c r="F626" s="2">
        <v>45237</v>
      </c>
      <c r="G626" s="3" t="s">
        <v>752</v>
      </c>
      <c r="H626" s="3" t="s">
        <v>18</v>
      </c>
      <c r="I626" s="3">
        <v>36</v>
      </c>
      <c r="J626" s="3"/>
      <c r="K626" s="3" t="s">
        <v>195</v>
      </c>
      <c r="L626" s="3">
        <v>3</v>
      </c>
      <c r="M626" s="4">
        <v>300</v>
      </c>
      <c r="N626">
        <f>L626 * M626</f>
        <v>900</v>
      </c>
      <c r="O626" s="15">
        <f>N626 *$R$3</f>
        <v>13.5</v>
      </c>
    </row>
    <row r="627" spans="1:15" ht="15.75">
      <c r="A627" s="3">
        <v>999</v>
      </c>
      <c r="B627">
        <f>DAY(F627)</f>
        <v>5</v>
      </c>
      <c r="C627" t="str">
        <f>TEXT(F627, "mmmm")</f>
        <v>December</v>
      </c>
      <c r="D627" s="3">
        <f>MONTH(F627)</f>
        <v>12</v>
      </c>
      <c r="E627" s="3">
        <f>YEAR(F627)</f>
        <v>2023</v>
      </c>
      <c r="F627" s="2">
        <v>45265</v>
      </c>
      <c r="G627" s="3" t="s">
        <v>753</v>
      </c>
      <c r="H627" s="3" t="s">
        <v>198</v>
      </c>
      <c r="I627" s="3">
        <v>36</v>
      </c>
      <c r="J627" s="3"/>
      <c r="K627" s="3" t="s">
        <v>196</v>
      </c>
      <c r="L627" s="3">
        <v>3</v>
      </c>
      <c r="M627" s="4">
        <v>50</v>
      </c>
      <c r="N627">
        <f>L627 * M627</f>
        <v>150</v>
      </c>
      <c r="O627" s="15">
        <f>N627 *$R$3</f>
        <v>2.25</v>
      </c>
    </row>
    <row r="628" spans="1:15" ht="15.75">
      <c r="A628" s="3">
        <v>12</v>
      </c>
      <c r="B628">
        <f>DAY(F628)</f>
        <v>30</v>
      </c>
      <c r="C628" t="str">
        <f>TEXT(F628, "mmmm")</f>
        <v>October</v>
      </c>
      <c r="D628" s="3">
        <f>MONTH(F628)</f>
        <v>10</v>
      </c>
      <c r="E628" s="3">
        <f>YEAR(F628)</f>
        <v>2023</v>
      </c>
      <c r="F628" s="2">
        <v>45229</v>
      </c>
      <c r="G628" s="3" t="s">
        <v>64</v>
      </c>
      <c r="H628" s="3" t="s">
        <v>18</v>
      </c>
      <c r="I628" s="3">
        <v>35</v>
      </c>
      <c r="J628" s="3"/>
      <c r="K628" s="3" t="s">
        <v>19</v>
      </c>
      <c r="L628" s="3">
        <v>3</v>
      </c>
      <c r="M628" s="4">
        <v>25</v>
      </c>
      <c r="N628">
        <f>L628 * M628</f>
        <v>75</v>
      </c>
      <c r="O628" s="15">
        <f>N628 *$R$3</f>
        <v>1.125</v>
      </c>
    </row>
    <row r="629" spans="1:15" ht="15.75">
      <c r="A629" s="3">
        <v>23</v>
      </c>
      <c r="B629">
        <f>DAY(F629)</f>
        <v>12</v>
      </c>
      <c r="C629" t="str">
        <f>TEXT(F629, "mmmm")</f>
        <v>April</v>
      </c>
      <c r="D629" s="3">
        <f>MONTH(F629)</f>
        <v>4</v>
      </c>
      <c r="E629" s="3">
        <f>YEAR(F629)</f>
        <v>2023</v>
      </c>
      <c r="F629" s="2">
        <v>45028</v>
      </c>
      <c r="G629" s="3" t="s">
        <v>754</v>
      </c>
      <c r="H629" s="3" t="s">
        <v>198</v>
      </c>
      <c r="I629" s="3">
        <v>35</v>
      </c>
      <c r="J629" s="3"/>
      <c r="K629" s="3" t="s">
        <v>195</v>
      </c>
      <c r="L629" s="3">
        <v>4</v>
      </c>
      <c r="M629" s="4">
        <v>30</v>
      </c>
      <c r="N629">
        <f>L629 * M629</f>
        <v>120</v>
      </c>
      <c r="O629" s="15">
        <f>N629 *$R$3</f>
        <v>1.7999999999999998</v>
      </c>
    </row>
    <row r="630" spans="1:15" ht="15.75">
      <c r="A630" s="3">
        <v>93</v>
      </c>
      <c r="B630">
        <f>DAY(F630)</f>
        <v>14</v>
      </c>
      <c r="C630" t="str">
        <f>TEXT(F630, "mmmm")</f>
        <v>July</v>
      </c>
      <c r="D630" s="3">
        <f>MONTH(F630)</f>
        <v>7</v>
      </c>
      <c r="E630" s="3">
        <f>YEAR(F630)</f>
        <v>2023</v>
      </c>
      <c r="F630" s="2">
        <v>45121</v>
      </c>
      <c r="G630" s="3" t="s">
        <v>755</v>
      </c>
      <c r="H630" s="3" t="s">
        <v>198</v>
      </c>
      <c r="I630" s="3">
        <v>35</v>
      </c>
      <c r="J630" s="3"/>
      <c r="K630" s="3" t="s">
        <v>19</v>
      </c>
      <c r="L630" s="3">
        <v>4</v>
      </c>
      <c r="M630" s="4">
        <v>500</v>
      </c>
      <c r="N630">
        <f>L630 * M630</f>
        <v>2000</v>
      </c>
      <c r="O630" s="15">
        <f>N630 *$R$3</f>
        <v>30</v>
      </c>
    </row>
    <row r="631" spans="1:15" ht="15.75">
      <c r="A631" s="3">
        <v>142</v>
      </c>
      <c r="B631">
        <f>DAY(F631)</f>
        <v>2</v>
      </c>
      <c r="C631" t="str">
        <f>TEXT(F631, "mmmm")</f>
        <v>February</v>
      </c>
      <c r="D631" s="3">
        <f>MONTH(F631)</f>
        <v>2</v>
      </c>
      <c r="E631" s="3">
        <f>YEAR(F631)</f>
        <v>2023</v>
      </c>
      <c r="F631" s="2">
        <v>44959</v>
      </c>
      <c r="G631" s="3" t="s">
        <v>756</v>
      </c>
      <c r="H631" s="3" t="s">
        <v>18</v>
      </c>
      <c r="I631" s="3">
        <v>35</v>
      </c>
      <c r="J631" s="3"/>
      <c r="K631" s="3" t="s">
        <v>196</v>
      </c>
      <c r="L631" s="3">
        <v>4</v>
      </c>
      <c r="M631" s="4">
        <v>300</v>
      </c>
      <c r="N631">
        <f>L631 * M631</f>
        <v>1200</v>
      </c>
      <c r="O631" s="15">
        <f>N631 *$R$3</f>
        <v>18</v>
      </c>
    </row>
    <row r="632" spans="1:15" ht="15.75">
      <c r="A632" s="3">
        <v>193</v>
      </c>
      <c r="B632">
        <f>DAY(F632)</f>
        <v>13</v>
      </c>
      <c r="C632" t="str">
        <f>TEXT(F632, "mmmm")</f>
        <v>February</v>
      </c>
      <c r="D632" s="3">
        <f>MONTH(F632)</f>
        <v>2</v>
      </c>
      <c r="E632" s="3">
        <f>YEAR(F632)</f>
        <v>2023</v>
      </c>
      <c r="F632" s="2">
        <v>44970</v>
      </c>
      <c r="G632" s="3" t="s">
        <v>162</v>
      </c>
      <c r="H632" s="3" t="s">
        <v>18</v>
      </c>
      <c r="I632" s="3">
        <v>35</v>
      </c>
      <c r="J632" s="3"/>
      <c r="K632" s="3" t="s">
        <v>19</v>
      </c>
      <c r="L632" s="3">
        <v>3</v>
      </c>
      <c r="M632" s="4">
        <v>500</v>
      </c>
      <c r="N632">
        <f>L632 * M632</f>
        <v>1500</v>
      </c>
      <c r="O632" s="15">
        <f>N632 *$R$3</f>
        <v>22.5</v>
      </c>
    </row>
    <row r="633" spans="1:15" ht="15.75">
      <c r="A633" s="3">
        <v>217</v>
      </c>
      <c r="B633">
        <f>DAY(F633)</f>
        <v>13</v>
      </c>
      <c r="C633" t="str">
        <f>TEXT(F633, "mmmm")</f>
        <v>August</v>
      </c>
      <c r="D633" s="3">
        <f>MONTH(F633)</f>
        <v>8</v>
      </c>
      <c r="E633" s="3">
        <f>YEAR(F633)</f>
        <v>2023</v>
      </c>
      <c r="F633" s="2">
        <v>45151</v>
      </c>
      <c r="G633" s="3" t="s">
        <v>757</v>
      </c>
      <c r="H633" s="3" t="s">
        <v>198</v>
      </c>
      <c r="I633" s="3">
        <v>35</v>
      </c>
      <c r="J633" s="3"/>
      <c r="K633" s="3" t="s">
        <v>196</v>
      </c>
      <c r="L633" s="3">
        <v>4</v>
      </c>
      <c r="M633" s="4">
        <v>50</v>
      </c>
      <c r="N633">
        <f>L633 * M633</f>
        <v>200</v>
      </c>
      <c r="O633" s="15">
        <f>N633 *$R$3</f>
        <v>3</v>
      </c>
    </row>
    <row r="634" spans="1:15" ht="15.75">
      <c r="A634" s="3">
        <v>348</v>
      </c>
      <c r="B634">
        <f>DAY(F634)</f>
        <v>3</v>
      </c>
      <c r="C634" t="str">
        <f>TEXT(F634, "mmmm")</f>
        <v>December</v>
      </c>
      <c r="D634" s="3">
        <f>MONTH(F634)</f>
        <v>12</v>
      </c>
      <c r="E634" s="3">
        <f>YEAR(F634)</f>
        <v>2023</v>
      </c>
      <c r="F634" s="2">
        <v>45263</v>
      </c>
      <c r="G634" s="3" t="s">
        <v>758</v>
      </c>
      <c r="H634" s="3" t="s">
        <v>198</v>
      </c>
      <c r="I634" s="3">
        <v>35</v>
      </c>
      <c r="J634" s="3"/>
      <c r="K634" s="3" t="s">
        <v>196</v>
      </c>
      <c r="L634" s="3">
        <v>2</v>
      </c>
      <c r="M634" s="4">
        <v>300</v>
      </c>
      <c r="N634">
        <f>L634 * M634</f>
        <v>600</v>
      </c>
      <c r="O634" s="15">
        <f>N634 *$R$3</f>
        <v>9</v>
      </c>
    </row>
    <row r="635" spans="1:15" ht="15.75">
      <c r="A635" s="3">
        <v>437</v>
      </c>
      <c r="B635">
        <f>DAY(F635)</f>
        <v>7</v>
      </c>
      <c r="C635" t="str">
        <f>TEXT(F635, "mmmm")</f>
        <v>October</v>
      </c>
      <c r="D635" s="3">
        <f>MONTH(F635)</f>
        <v>10</v>
      </c>
      <c r="E635" s="3">
        <f>YEAR(F635)</f>
        <v>2023</v>
      </c>
      <c r="F635" s="2">
        <v>45206</v>
      </c>
      <c r="G635" s="3" t="s">
        <v>759</v>
      </c>
      <c r="H635" s="3" t="s">
        <v>198</v>
      </c>
      <c r="I635" s="3">
        <v>35</v>
      </c>
      <c r="J635" s="3"/>
      <c r="K635" s="3" t="s">
        <v>196</v>
      </c>
      <c r="L635" s="3">
        <v>4</v>
      </c>
      <c r="M635" s="4">
        <v>300</v>
      </c>
      <c r="N635">
        <f>L635 * M635</f>
        <v>1200</v>
      </c>
      <c r="O635" s="15">
        <f>N635 *$R$3</f>
        <v>18</v>
      </c>
    </row>
    <row r="636" spans="1:15" ht="15.75">
      <c r="A636" s="3">
        <v>486</v>
      </c>
      <c r="B636">
        <f>DAY(F636)</f>
        <v>9</v>
      </c>
      <c r="C636" t="str">
        <f>TEXT(F636, "mmmm")</f>
        <v>April</v>
      </c>
      <c r="D636" s="3">
        <f>MONTH(F636)</f>
        <v>4</v>
      </c>
      <c r="E636" s="3">
        <f>YEAR(F636)</f>
        <v>2023</v>
      </c>
      <c r="F636" s="2">
        <v>45025</v>
      </c>
      <c r="G636" s="3" t="s">
        <v>760</v>
      </c>
      <c r="H636" s="3" t="s">
        <v>198</v>
      </c>
      <c r="I636" s="3">
        <v>35</v>
      </c>
      <c r="J636" s="3"/>
      <c r="K636" s="3" t="s">
        <v>196</v>
      </c>
      <c r="L636" s="3">
        <v>1</v>
      </c>
      <c r="M636" s="4">
        <v>25</v>
      </c>
      <c r="N636">
        <f>L636 * M636</f>
        <v>25</v>
      </c>
      <c r="O636" s="15">
        <f>N636 *$R$3</f>
        <v>0.375</v>
      </c>
    </row>
    <row r="637" spans="1:15" ht="15.75">
      <c r="A637" s="3">
        <v>529</v>
      </c>
      <c r="B637">
        <f>DAY(F637)</f>
        <v>9</v>
      </c>
      <c r="C637" t="str">
        <f>TEXT(F637, "mmmm")</f>
        <v>August</v>
      </c>
      <c r="D637" s="3">
        <f>MONTH(F637)</f>
        <v>8</v>
      </c>
      <c r="E637" s="3">
        <f>YEAR(F637)</f>
        <v>2023</v>
      </c>
      <c r="F637" s="2">
        <v>45147</v>
      </c>
      <c r="G637" s="3" t="s">
        <v>761</v>
      </c>
      <c r="H637" s="3" t="s">
        <v>198</v>
      </c>
      <c r="I637" s="3">
        <v>35</v>
      </c>
      <c r="J637" s="3"/>
      <c r="K637" s="3" t="s">
        <v>195</v>
      </c>
      <c r="L637" s="3">
        <v>3</v>
      </c>
      <c r="M637" s="4">
        <v>50</v>
      </c>
      <c r="N637">
        <f>L637 * M637</f>
        <v>150</v>
      </c>
      <c r="O637" s="15">
        <f>N637 *$R$3</f>
        <v>2.25</v>
      </c>
    </row>
    <row r="638" spans="1:15" ht="15.75">
      <c r="A638" s="3">
        <v>582</v>
      </c>
      <c r="B638">
        <f>DAY(F638)</f>
        <v>14</v>
      </c>
      <c r="C638" t="str">
        <f>TEXT(F638, "mmmm")</f>
        <v>November</v>
      </c>
      <c r="D638" s="3">
        <f>MONTH(F638)</f>
        <v>11</v>
      </c>
      <c r="E638" s="3">
        <f>YEAR(F638)</f>
        <v>2023</v>
      </c>
      <c r="F638" s="2">
        <v>45244</v>
      </c>
      <c r="G638" s="3" t="s">
        <v>762</v>
      </c>
      <c r="H638" s="3" t="s">
        <v>18</v>
      </c>
      <c r="I638" s="3">
        <v>35</v>
      </c>
      <c r="J638" s="3"/>
      <c r="K638" s="3" t="s">
        <v>195</v>
      </c>
      <c r="L638" s="3">
        <v>3</v>
      </c>
      <c r="M638" s="4">
        <v>300</v>
      </c>
      <c r="N638">
        <f>L638 * M638</f>
        <v>900</v>
      </c>
      <c r="O638" s="15">
        <f>N638 *$R$3</f>
        <v>13.5</v>
      </c>
    </row>
    <row r="639" spans="1:15" ht="15.75">
      <c r="A639" s="3">
        <v>593</v>
      </c>
      <c r="B639">
        <f>DAY(F639)</f>
        <v>6</v>
      </c>
      <c r="C639" t="str">
        <f>TEXT(F639, "mmmm")</f>
        <v>May</v>
      </c>
      <c r="D639" s="3">
        <f>MONTH(F639)</f>
        <v>5</v>
      </c>
      <c r="E639" s="3">
        <f>YEAR(F639)</f>
        <v>2023</v>
      </c>
      <c r="F639" s="2">
        <v>45052</v>
      </c>
      <c r="G639" s="3" t="s">
        <v>763</v>
      </c>
      <c r="H639" s="3" t="s">
        <v>18</v>
      </c>
      <c r="I639" s="3">
        <v>35</v>
      </c>
      <c r="J639" s="3"/>
      <c r="K639" s="3" t="s">
        <v>196</v>
      </c>
      <c r="L639" s="3">
        <v>2</v>
      </c>
      <c r="M639" s="4">
        <v>30</v>
      </c>
      <c r="N639">
        <f>L639 * M639</f>
        <v>60</v>
      </c>
      <c r="O639" s="15">
        <f>N639 *$R$3</f>
        <v>0.89999999999999991</v>
      </c>
    </row>
    <row r="640" spans="1:15" ht="15.75">
      <c r="A640" s="3">
        <v>645</v>
      </c>
      <c r="B640">
        <f>DAY(F640)</f>
        <v>17</v>
      </c>
      <c r="C640" t="str">
        <f>TEXT(F640, "mmmm")</f>
        <v>November</v>
      </c>
      <c r="D640" s="3">
        <f>MONTH(F640)</f>
        <v>11</v>
      </c>
      <c r="E640" s="3">
        <f>YEAR(F640)</f>
        <v>2023</v>
      </c>
      <c r="F640" s="2">
        <v>45247</v>
      </c>
      <c r="G640" s="3" t="s">
        <v>764</v>
      </c>
      <c r="H640" s="3" t="s">
        <v>198</v>
      </c>
      <c r="I640" s="3">
        <v>35</v>
      </c>
      <c r="J640" s="3"/>
      <c r="K640" s="3" t="s">
        <v>196</v>
      </c>
      <c r="L640" s="3">
        <v>4</v>
      </c>
      <c r="M640" s="4">
        <v>30</v>
      </c>
      <c r="N640">
        <f>L640 * M640</f>
        <v>120</v>
      </c>
      <c r="O640" s="15">
        <f>N640 *$R$3</f>
        <v>1.7999999999999998</v>
      </c>
    </row>
    <row r="641" spans="1:15" ht="15.75">
      <c r="A641" s="3">
        <v>750</v>
      </c>
      <c r="B641">
        <f>DAY(F641)</f>
        <v>6</v>
      </c>
      <c r="C641" t="str">
        <f>TEXT(F641, "mmmm")</f>
        <v>March</v>
      </c>
      <c r="D641" s="3">
        <f>MONTH(F641)</f>
        <v>3</v>
      </c>
      <c r="E641" s="3">
        <f>YEAR(F641)</f>
        <v>2023</v>
      </c>
      <c r="F641" s="2">
        <v>44991</v>
      </c>
      <c r="G641" s="3" t="s">
        <v>765</v>
      </c>
      <c r="H641" s="3" t="s">
        <v>198</v>
      </c>
      <c r="I641" s="3">
        <v>35</v>
      </c>
      <c r="J641" s="3"/>
      <c r="K641" s="3" t="s">
        <v>195</v>
      </c>
      <c r="L641" s="3">
        <v>3</v>
      </c>
      <c r="M641" s="4">
        <v>25</v>
      </c>
      <c r="N641">
        <f>L641 * M641</f>
        <v>75</v>
      </c>
      <c r="O641" s="15">
        <f>N641 *$R$3</f>
        <v>1.125</v>
      </c>
    </row>
    <row r="642" spans="1:15" ht="15.75">
      <c r="A642" s="3">
        <v>776</v>
      </c>
      <c r="B642">
        <f>DAY(F642)</f>
        <v>31</v>
      </c>
      <c r="C642" t="str">
        <f>TEXT(F642, "mmmm")</f>
        <v>October</v>
      </c>
      <c r="D642" s="3">
        <f>MONTH(F642)</f>
        <v>10</v>
      </c>
      <c r="E642" s="3">
        <f>YEAR(F642)</f>
        <v>2023</v>
      </c>
      <c r="F642" s="2">
        <v>45230</v>
      </c>
      <c r="G642" s="3" t="s">
        <v>766</v>
      </c>
      <c r="H642" s="3" t="s">
        <v>18</v>
      </c>
      <c r="I642" s="3">
        <v>35</v>
      </c>
      <c r="J642" s="3"/>
      <c r="K642" s="3" t="s">
        <v>195</v>
      </c>
      <c r="L642" s="3">
        <v>3</v>
      </c>
      <c r="M642" s="4">
        <v>30</v>
      </c>
      <c r="N642">
        <f>L642 * M642</f>
        <v>90</v>
      </c>
      <c r="O642" s="15">
        <f>N642 *$R$3</f>
        <v>1.3499999999999999</v>
      </c>
    </row>
    <row r="643" spans="1:15" ht="15.75">
      <c r="A643" s="3">
        <v>781</v>
      </c>
      <c r="B643">
        <f>DAY(F643)</f>
        <v>23</v>
      </c>
      <c r="C643" t="str">
        <f>TEXT(F643, "mmmm")</f>
        <v>December</v>
      </c>
      <c r="D643" s="3">
        <f>MONTH(F643)</f>
        <v>12</v>
      </c>
      <c r="E643" s="3">
        <f>YEAR(F643)</f>
        <v>2023</v>
      </c>
      <c r="F643" s="2">
        <v>45283</v>
      </c>
      <c r="G643" s="3" t="s">
        <v>121</v>
      </c>
      <c r="H643" s="3" t="s">
        <v>18</v>
      </c>
      <c r="I643" s="3">
        <v>35</v>
      </c>
      <c r="J643" s="3"/>
      <c r="K643" s="3" t="s">
        <v>19</v>
      </c>
      <c r="L643" s="3">
        <v>1</v>
      </c>
      <c r="M643" s="4">
        <v>500</v>
      </c>
      <c r="N643">
        <f>L643 * M643</f>
        <v>500</v>
      </c>
      <c r="O643" s="15">
        <f>N643 *$R$3</f>
        <v>7.5</v>
      </c>
    </row>
    <row r="644" spans="1:15" ht="15.75">
      <c r="A644" s="3">
        <v>806</v>
      </c>
      <c r="B644">
        <f>DAY(F644)</f>
        <v>20</v>
      </c>
      <c r="C644" t="str">
        <f>TEXT(F644, "mmmm")</f>
        <v>March</v>
      </c>
      <c r="D644" s="3">
        <f>MONTH(F644)</f>
        <v>3</v>
      </c>
      <c r="E644" s="3">
        <f>YEAR(F644)</f>
        <v>2023</v>
      </c>
      <c r="F644" s="2">
        <v>45005</v>
      </c>
      <c r="G644" s="3" t="s">
        <v>767</v>
      </c>
      <c r="H644" s="3" t="s">
        <v>198</v>
      </c>
      <c r="I644" s="3">
        <v>35</v>
      </c>
      <c r="J644" s="3"/>
      <c r="K644" s="3" t="s">
        <v>19</v>
      </c>
      <c r="L644" s="3">
        <v>3</v>
      </c>
      <c r="M644" s="4">
        <v>300</v>
      </c>
      <c r="N644">
        <f>L644 * M644</f>
        <v>900</v>
      </c>
      <c r="O644" s="15">
        <f>N644 *$R$3</f>
        <v>13.5</v>
      </c>
    </row>
    <row r="645" spans="1:15" ht="15.75">
      <c r="A645" s="3">
        <v>819</v>
      </c>
      <c r="B645">
        <f>DAY(F645)</f>
        <v>15</v>
      </c>
      <c r="C645" t="str">
        <f>TEXT(F645, "mmmm")</f>
        <v>June</v>
      </c>
      <c r="D645" s="3">
        <f>MONTH(F645)</f>
        <v>6</v>
      </c>
      <c r="E645" s="3">
        <f>YEAR(F645)</f>
        <v>2023</v>
      </c>
      <c r="F645" s="2">
        <v>45092</v>
      </c>
      <c r="G645" s="3" t="s">
        <v>768</v>
      </c>
      <c r="H645" s="3" t="s">
        <v>198</v>
      </c>
      <c r="I645" s="3">
        <v>35</v>
      </c>
      <c r="J645" s="3"/>
      <c r="K645" s="3" t="s">
        <v>19</v>
      </c>
      <c r="L645" s="3">
        <v>2</v>
      </c>
      <c r="M645" s="4">
        <v>50</v>
      </c>
      <c r="N645">
        <f>L645 * M645</f>
        <v>100</v>
      </c>
      <c r="O645" s="15">
        <f>N645 *$R$3</f>
        <v>1.5</v>
      </c>
    </row>
    <row r="646" spans="1:15" ht="15.75">
      <c r="A646" s="3">
        <v>844</v>
      </c>
      <c r="B646">
        <f>DAY(F646)</f>
        <v>12</v>
      </c>
      <c r="C646" t="str">
        <f>TEXT(F646, "mmmm")</f>
        <v>October</v>
      </c>
      <c r="D646" s="3">
        <f>MONTH(F646)</f>
        <v>10</v>
      </c>
      <c r="E646" s="3">
        <f>YEAR(F646)</f>
        <v>2023</v>
      </c>
      <c r="F646" s="2">
        <v>45211</v>
      </c>
      <c r="G646" s="3" t="s">
        <v>769</v>
      </c>
      <c r="H646" s="3" t="s">
        <v>18</v>
      </c>
      <c r="I646" s="3">
        <v>35</v>
      </c>
      <c r="J646" s="3"/>
      <c r="K646" s="3" t="s">
        <v>195</v>
      </c>
      <c r="L646" s="3">
        <v>3</v>
      </c>
      <c r="M646" s="4">
        <v>50</v>
      </c>
      <c r="N646">
        <f>L646 * M646</f>
        <v>150</v>
      </c>
      <c r="O646" s="15">
        <f>N646 *$R$3</f>
        <v>2.25</v>
      </c>
    </row>
    <row r="647" spans="1:15" ht="15.75">
      <c r="A647" s="3">
        <v>889</v>
      </c>
      <c r="B647">
        <f>DAY(F647)</f>
        <v>2</v>
      </c>
      <c r="C647" t="str">
        <f>TEXT(F647, "mmmm")</f>
        <v>October</v>
      </c>
      <c r="D647" s="3">
        <f>MONTH(F647)</f>
        <v>10</v>
      </c>
      <c r="E647" s="3">
        <f>YEAR(F647)</f>
        <v>2023</v>
      </c>
      <c r="F647" s="2">
        <v>45201</v>
      </c>
      <c r="G647" s="3" t="s">
        <v>770</v>
      </c>
      <c r="H647" s="3" t="s">
        <v>198</v>
      </c>
      <c r="I647" s="3">
        <v>35</v>
      </c>
      <c r="J647" s="3"/>
      <c r="K647" s="3" t="s">
        <v>196</v>
      </c>
      <c r="L647" s="3">
        <v>1</v>
      </c>
      <c r="M647" s="4">
        <v>50</v>
      </c>
      <c r="N647">
        <f>L647 * M647</f>
        <v>50</v>
      </c>
      <c r="O647" s="15">
        <f>N647 *$R$3</f>
        <v>0.75</v>
      </c>
    </row>
    <row r="648" spans="1:15" ht="15.75">
      <c r="A648" s="3">
        <v>928</v>
      </c>
      <c r="B648">
        <f>DAY(F648)</f>
        <v>5</v>
      </c>
      <c r="C648" t="str">
        <f>TEXT(F648, "mmmm")</f>
        <v>April</v>
      </c>
      <c r="D648" s="3">
        <f>MONTH(F648)</f>
        <v>4</v>
      </c>
      <c r="E648" s="3">
        <f>YEAR(F648)</f>
        <v>2023</v>
      </c>
      <c r="F648" s="2">
        <v>45021</v>
      </c>
      <c r="G648" s="3" t="s">
        <v>771</v>
      </c>
      <c r="H648" s="3" t="s">
        <v>198</v>
      </c>
      <c r="I648" s="3">
        <v>35</v>
      </c>
      <c r="J648" s="3"/>
      <c r="K648" s="3" t="s">
        <v>195</v>
      </c>
      <c r="L648" s="3">
        <v>4</v>
      </c>
      <c r="M648" s="4">
        <v>300</v>
      </c>
      <c r="N648">
        <f>L648 * M648</f>
        <v>1200</v>
      </c>
      <c r="O648" s="15">
        <f>N648 *$R$3</f>
        <v>18</v>
      </c>
    </row>
    <row r="649" spans="1:15" ht="15.75">
      <c r="A649" s="3">
        <v>977</v>
      </c>
      <c r="B649">
        <f>DAY(F649)</f>
        <v>8</v>
      </c>
      <c r="C649" t="str">
        <f>TEXT(F649, "mmmm")</f>
        <v>February</v>
      </c>
      <c r="D649" s="3">
        <f>MONTH(F649)</f>
        <v>2</v>
      </c>
      <c r="E649" s="3">
        <f>YEAR(F649)</f>
        <v>2023</v>
      </c>
      <c r="F649" s="2">
        <v>44965</v>
      </c>
      <c r="G649" s="3" t="s">
        <v>772</v>
      </c>
      <c r="H649" s="3" t="s">
        <v>198</v>
      </c>
      <c r="I649" s="3">
        <v>35</v>
      </c>
      <c r="J649" s="3"/>
      <c r="K649" s="3" t="s">
        <v>196</v>
      </c>
      <c r="L649" s="3">
        <v>3</v>
      </c>
      <c r="M649" s="4">
        <v>25</v>
      </c>
      <c r="N649">
        <f>L649 * M649</f>
        <v>75</v>
      </c>
      <c r="O649" s="15">
        <f>N649 *$R$3</f>
        <v>1.125</v>
      </c>
    </row>
    <row r="650" spans="1:15" ht="15.75">
      <c r="A650" s="3">
        <v>1</v>
      </c>
      <c r="B650">
        <f>DAY(F650)</f>
        <v>24</v>
      </c>
      <c r="C650" t="str">
        <f>TEXT(F650, "mmmm")</f>
        <v>November</v>
      </c>
      <c r="D650" s="3">
        <f>MONTH(F650)</f>
        <v>11</v>
      </c>
      <c r="E650" s="3">
        <f>YEAR(F650)</f>
        <v>2023</v>
      </c>
      <c r="F650" s="2">
        <v>45254</v>
      </c>
      <c r="G650" s="3" t="s">
        <v>103</v>
      </c>
      <c r="H650" s="3" t="s">
        <v>18</v>
      </c>
      <c r="I650" s="3">
        <v>34</v>
      </c>
      <c r="J650" s="18"/>
      <c r="K650" s="3" t="s">
        <v>19</v>
      </c>
      <c r="L650" s="3">
        <v>3</v>
      </c>
      <c r="M650" s="4">
        <v>50</v>
      </c>
      <c r="N650">
        <f>L650 * M650</f>
        <v>150</v>
      </c>
      <c r="O650" s="15">
        <f>N650 *$R$3</f>
        <v>2.25</v>
      </c>
    </row>
    <row r="651" spans="1:15" ht="15.75">
      <c r="A651" s="3">
        <v>41</v>
      </c>
      <c r="B651">
        <f>DAY(F651)</f>
        <v>22</v>
      </c>
      <c r="C651" t="str">
        <f>TEXT(F651, "mmmm")</f>
        <v>February</v>
      </c>
      <c r="D651" s="3">
        <f>MONTH(F651)</f>
        <v>2</v>
      </c>
      <c r="E651" s="3">
        <f>YEAR(F651)</f>
        <v>2023</v>
      </c>
      <c r="F651" s="2">
        <v>44979</v>
      </c>
      <c r="G651" s="3" t="s">
        <v>773</v>
      </c>
      <c r="H651" s="3" t="s">
        <v>18</v>
      </c>
      <c r="I651" s="3">
        <v>34</v>
      </c>
      <c r="J651" s="3"/>
      <c r="K651" s="3" t="s">
        <v>195</v>
      </c>
      <c r="L651" s="3">
        <v>2</v>
      </c>
      <c r="M651" s="4">
        <v>25</v>
      </c>
      <c r="N651">
        <f>L651 * M651</f>
        <v>50</v>
      </c>
      <c r="O651" s="15">
        <f>N651 *$R$3</f>
        <v>0.75</v>
      </c>
    </row>
    <row r="652" spans="1:15" ht="15.75">
      <c r="A652" s="3">
        <v>53</v>
      </c>
      <c r="B652">
        <f>DAY(F652)</f>
        <v>13</v>
      </c>
      <c r="C652" t="str">
        <f>TEXT(F652, "mmmm")</f>
        <v>July</v>
      </c>
      <c r="D652" s="3">
        <f>MONTH(F652)</f>
        <v>7</v>
      </c>
      <c r="E652" s="3">
        <f>YEAR(F652)</f>
        <v>2023</v>
      </c>
      <c r="F652" s="2">
        <v>45120</v>
      </c>
      <c r="G652" s="3" t="s">
        <v>774</v>
      </c>
      <c r="H652" s="3" t="s">
        <v>18</v>
      </c>
      <c r="I652" s="3">
        <v>34</v>
      </c>
      <c r="J652" s="3"/>
      <c r="K652" s="3" t="s">
        <v>196</v>
      </c>
      <c r="L652" s="3">
        <v>2</v>
      </c>
      <c r="M652" s="4">
        <v>50</v>
      </c>
      <c r="N652">
        <f>L652 * M652</f>
        <v>100</v>
      </c>
      <c r="O652" s="15">
        <f>N652 *$R$3</f>
        <v>1.5</v>
      </c>
    </row>
    <row r="653" spans="1:15" ht="15.75">
      <c r="A653" s="3">
        <v>79</v>
      </c>
      <c r="B653">
        <f>DAY(F653)</f>
        <v>18</v>
      </c>
      <c r="C653" t="str">
        <f>TEXT(F653, "mmmm")</f>
        <v>April</v>
      </c>
      <c r="D653" s="3">
        <f>MONTH(F653)</f>
        <v>4</v>
      </c>
      <c r="E653" s="3">
        <f>YEAR(F653)</f>
        <v>2023</v>
      </c>
      <c r="F653" s="2">
        <v>45034</v>
      </c>
      <c r="G653" s="3" t="s">
        <v>118</v>
      </c>
      <c r="H653" s="3" t="s">
        <v>18</v>
      </c>
      <c r="I653" s="3">
        <v>34</v>
      </c>
      <c r="J653" s="3"/>
      <c r="K653" s="3" t="s">
        <v>19</v>
      </c>
      <c r="L653" s="3">
        <v>1</v>
      </c>
      <c r="M653" s="4">
        <v>300</v>
      </c>
      <c r="N653">
        <f>L653 * M653</f>
        <v>300</v>
      </c>
      <c r="O653" s="15">
        <f>N653 *$R$3</f>
        <v>4.5</v>
      </c>
    </row>
    <row r="654" spans="1:15" ht="15.75">
      <c r="A654" s="3">
        <v>104</v>
      </c>
      <c r="B654">
        <f>DAY(F654)</f>
        <v>11</v>
      </c>
      <c r="C654" t="str">
        <f>TEXT(F654, "mmmm")</f>
        <v>June</v>
      </c>
      <c r="D654" s="3">
        <f>MONTH(F654)</f>
        <v>6</v>
      </c>
      <c r="E654" s="3">
        <f>YEAR(F654)</f>
        <v>2023</v>
      </c>
      <c r="F654" s="2">
        <v>45088</v>
      </c>
      <c r="G654" s="3" t="s">
        <v>775</v>
      </c>
      <c r="H654" s="3" t="s">
        <v>198</v>
      </c>
      <c r="I654" s="3">
        <v>34</v>
      </c>
      <c r="J654" s="3"/>
      <c r="K654" s="3" t="s">
        <v>19</v>
      </c>
      <c r="L654" s="3">
        <v>2</v>
      </c>
      <c r="M654" s="4">
        <v>500</v>
      </c>
      <c r="N654">
        <f>L654 * M654</f>
        <v>1000</v>
      </c>
      <c r="O654" s="15">
        <f>N654 *$R$3</f>
        <v>15</v>
      </c>
    </row>
    <row r="655" spans="1:15" ht="15.75">
      <c r="A655" s="3">
        <v>109</v>
      </c>
      <c r="B655">
        <f>DAY(F655)</f>
        <v>18</v>
      </c>
      <c r="C655" t="str">
        <f>TEXT(F655, "mmmm")</f>
        <v>October</v>
      </c>
      <c r="D655" s="3">
        <f>MONTH(F655)</f>
        <v>10</v>
      </c>
      <c r="E655" s="3">
        <f>YEAR(F655)</f>
        <v>2023</v>
      </c>
      <c r="F655" s="2">
        <v>45217</v>
      </c>
      <c r="G655" s="3" t="s">
        <v>776</v>
      </c>
      <c r="H655" s="3" t="s">
        <v>198</v>
      </c>
      <c r="I655" s="3">
        <v>34</v>
      </c>
      <c r="J655" s="3"/>
      <c r="K655" s="3" t="s">
        <v>196</v>
      </c>
      <c r="L655" s="3">
        <v>4</v>
      </c>
      <c r="M655" s="4">
        <v>500</v>
      </c>
      <c r="N655">
        <f>L655 * M655</f>
        <v>2000</v>
      </c>
      <c r="O655" s="15">
        <f>N655 *$R$3</f>
        <v>30</v>
      </c>
    </row>
    <row r="656" spans="1:15" ht="15.75">
      <c r="A656" s="3">
        <v>111</v>
      </c>
      <c r="B656">
        <f>DAY(F656)</f>
        <v>19</v>
      </c>
      <c r="C656" t="str">
        <f>TEXT(F656, "mmmm")</f>
        <v>April</v>
      </c>
      <c r="D656" s="3">
        <f>MONTH(F656)</f>
        <v>4</v>
      </c>
      <c r="E656" s="3">
        <f>YEAR(F656)</f>
        <v>2023</v>
      </c>
      <c r="F656" s="2">
        <v>45035</v>
      </c>
      <c r="G656" s="3" t="s">
        <v>777</v>
      </c>
      <c r="H656" s="3" t="s">
        <v>198</v>
      </c>
      <c r="I656" s="3">
        <v>34</v>
      </c>
      <c r="J656" s="3"/>
      <c r="K656" s="3" t="s">
        <v>196</v>
      </c>
      <c r="L656" s="3">
        <v>3</v>
      </c>
      <c r="M656" s="4">
        <v>500</v>
      </c>
      <c r="N656">
        <f>L656 * M656</f>
        <v>1500</v>
      </c>
      <c r="O656" s="15">
        <f>N656 *$R$3</f>
        <v>22.5</v>
      </c>
    </row>
    <row r="657" spans="1:15" ht="15.75">
      <c r="A657" s="3">
        <v>166</v>
      </c>
      <c r="B657">
        <f>DAY(F657)</f>
        <v>2</v>
      </c>
      <c r="C657" t="str">
        <f>TEXT(F657, "mmmm")</f>
        <v>April</v>
      </c>
      <c r="D657" s="3">
        <f>MONTH(F657)</f>
        <v>4</v>
      </c>
      <c r="E657" s="3">
        <f>YEAR(F657)</f>
        <v>2023</v>
      </c>
      <c r="F657" s="2">
        <v>45018</v>
      </c>
      <c r="G657" s="3" t="s">
        <v>778</v>
      </c>
      <c r="H657" s="3" t="s">
        <v>18</v>
      </c>
      <c r="I657" s="3">
        <v>34</v>
      </c>
      <c r="J657" s="3"/>
      <c r="K657" s="3" t="s">
        <v>195</v>
      </c>
      <c r="L657" s="3">
        <v>4</v>
      </c>
      <c r="M657" s="4">
        <v>500</v>
      </c>
      <c r="N657">
        <f>L657 * M657</f>
        <v>2000</v>
      </c>
      <c r="O657" s="15">
        <f>N657 *$R$3</f>
        <v>30</v>
      </c>
    </row>
    <row r="658" spans="1:15" ht="15.75">
      <c r="A658" s="3">
        <v>202</v>
      </c>
      <c r="B658">
        <f>DAY(F658)</f>
        <v>26</v>
      </c>
      <c r="C658" t="str">
        <f>TEXT(F658, "mmmm")</f>
        <v>March</v>
      </c>
      <c r="D658" s="3">
        <f>MONTH(F658)</f>
        <v>3</v>
      </c>
      <c r="E658" s="3">
        <f>YEAR(F658)</f>
        <v>2023</v>
      </c>
      <c r="F658" s="2">
        <v>45011</v>
      </c>
      <c r="G658" s="3" t="s">
        <v>779</v>
      </c>
      <c r="H658" s="3" t="s">
        <v>198</v>
      </c>
      <c r="I658" s="3">
        <v>34</v>
      </c>
      <c r="J658" s="3"/>
      <c r="K658" s="3" t="s">
        <v>195</v>
      </c>
      <c r="L658" s="3">
        <v>4</v>
      </c>
      <c r="M658" s="4">
        <v>300</v>
      </c>
      <c r="N658">
        <f>L658 * M658</f>
        <v>1200</v>
      </c>
      <c r="O658" s="15">
        <f>N658 *$R$3</f>
        <v>18</v>
      </c>
    </row>
    <row r="659" spans="1:15" ht="15.75">
      <c r="A659" s="3">
        <v>208</v>
      </c>
      <c r="B659">
        <f>DAY(F659)</f>
        <v>4</v>
      </c>
      <c r="C659" t="str">
        <f>TEXT(F659, "mmmm")</f>
        <v>October</v>
      </c>
      <c r="D659" s="3">
        <f>MONTH(F659)</f>
        <v>10</v>
      </c>
      <c r="E659" s="3">
        <f>YEAR(F659)</f>
        <v>2023</v>
      </c>
      <c r="F659" s="2">
        <v>45203</v>
      </c>
      <c r="G659" s="3" t="s">
        <v>780</v>
      </c>
      <c r="H659" s="3" t="s">
        <v>198</v>
      </c>
      <c r="I659" s="3">
        <v>34</v>
      </c>
      <c r="J659" s="3"/>
      <c r="K659" s="3" t="s">
        <v>196</v>
      </c>
      <c r="L659" s="3">
        <v>4</v>
      </c>
      <c r="M659" s="4">
        <v>50</v>
      </c>
      <c r="N659">
        <f>L659 * M659</f>
        <v>200</v>
      </c>
      <c r="O659" s="15">
        <f>N659 *$R$3</f>
        <v>3</v>
      </c>
    </row>
    <row r="660" spans="1:15" ht="15.75">
      <c r="A660" s="3">
        <v>308</v>
      </c>
      <c r="B660">
        <f>DAY(F660)</f>
        <v>5</v>
      </c>
      <c r="C660" t="str">
        <f>TEXT(F660, "mmmm")</f>
        <v>August</v>
      </c>
      <c r="D660" s="3">
        <f>MONTH(F660)</f>
        <v>8</v>
      </c>
      <c r="E660" s="3">
        <f>YEAR(F660)</f>
        <v>2023</v>
      </c>
      <c r="F660" s="2">
        <v>45143</v>
      </c>
      <c r="G660" s="3" t="s">
        <v>781</v>
      </c>
      <c r="H660" s="3" t="s">
        <v>198</v>
      </c>
      <c r="I660" s="3">
        <v>34</v>
      </c>
      <c r="J660" s="3"/>
      <c r="K660" s="3" t="s">
        <v>19</v>
      </c>
      <c r="L660" s="3">
        <v>4</v>
      </c>
      <c r="M660" s="4">
        <v>300</v>
      </c>
      <c r="N660">
        <f>L660 * M660</f>
        <v>1200</v>
      </c>
      <c r="O660" s="15">
        <f>N660 *$R$3</f>
        <v>18</v>
      </c>
    </row>
    <row r="661" spans="1:15" ht="15.75">
      <c r="A661" s="3">
        <v>361</v>
      </c>
      <c r="B661">
        <f>DAY(F661)</f>
        <v>10</v>
      </c>
      <c r="C661" t="str">
        <f>TEXT(F661, "mmmm")</f>
        <v>December</v>
      </c>
      <c r="D661" s="3">
        <f>MONTH(F661)</f>
        <v>12</v>
      </c>
      <c r="E661" s="3">
        <f>YEAR(F661)</f>
        <v>2023</v>
      </c>
      <c r="F661" s="2">
        <v>45270</v>
      </c>
      <c r="G661" s="3" t="s">
        <v>782</v>
      </c>
      <c r="H661" s="3" t="s">
        <v>198</v>
      </c>
      <c r="I661" s="3">
        <v>34</v>
      </c>
      <c r="J661" s="3"/>
      <c r="K661" s="3" t="s">
        <v>196</v>
      </c>
      <c r="L661" s="3">
        <v>4</v>
      </c>
      <c r="M661" s="4">
        <v>300</v>
      </c>
      <c r="N661">
        <f>L661 * M661</f>
        <v>1200</v>
      </c>
      <c r="O661" s="15">
        <f>N661 *$R$3</f>
        <v>18</v>
      </c>
    </row>
    <row r="662" spans="1:15" ht="15.75">
      <c r="A662" s="3">
        <v>490</v>
      </c>
      <c r="B662">
        <f>DAY(F662)</f>
        <v>5</v>
      </c>
      <c r="C662" t="str">
        <f>TEXT(F662, "mmmm")</f>
        <v>February</v>
      </c>
      <c r="D662" s="3">
        <f>MONTH(F662)</f>
        <v>2</v>
      </c>
      <c r="E662" s="3">
        <f>YEAR(F662)</f>
        <v>2023</v>
      </c>
      <c r="F662" s="2">
        <v>44962</v>
      </c>
      <c r="G662" s="3" t="s">
        <v>783</v>
      </c>
      <c r="H662" s="3" t="s">
        <v>18</v>
      </c>
      <c r="I662" s="3">
        <v>34</v>
      </c>
      <c r="J662" s="3"/>
      <c r="K662" s="3" t="s">
        <v>195</v>
      </c>
      <c r="L662" s="3">
        <v>3</v>
      </c>
      <c r="M662" s="4">
        <v>50</v>
      </c>
      <c r="N662">
        <f>L662 * M662</f>
        <v>150</v>
      </c>
      <c r="O662" s="15">
        <f>N662 *$R$3</f>
        <v>2.25</v>
      </c>
    </row>
    <row r="663" spans="1:15" ht="15.75">
      <c r="A663" s="3">
        <v>506</v>
      </c>
      <c r="B663">
        <f>DAY(F663)</f>
        <v>25</v>
      </c>
      <c r="C663" t="str">
        <f>TEXT(F663, "mmmm")</f>
        <v>February</v>
      </c>
      <c r="D663" s="3">
        <f>MONTH(F663)</f>
        <v>2</v>
      </c>
      <c r="E663" s="3">
        <f>YEAR(F663)</f>
        <v>2023</v>
      </c>
      <c r="F663" s="2">
        <v>44982</v>
      </c>
      <c r="G663" s="3" t="s">
        <v>158</v>
      </c>
      <c r="H663" s="3" t="s">
        <v>18</v>
      </c>
      <c r="I663" s="3">
        <v>34</v>
      </c>
      <c r="J663" s="3"/>
      <c r="K663" s="3" t="s">
        <v>19</v>
      </c>
      <c r="L663" s="3">
        <v>3</v>
      </c>
      <c r="M663" s="4">
        <v>500</v>
      </c>
      <c r="N663">
        <f>L663 * M663</f>
        <v>1500</v>
      </c>
      <c r="O663" s="15">
        <f>N663 *$R$3</f>
        <v>22.5</v>
      </c>
    </row>
    <row r="664" spans="1:15" ht="15.75">
      <c r="A664" s="3">
        <v>617</v>
      </c>
      <c r="B664">
        <f>DAY(F664)</f>
        <v>26</v>
      </c>
      <c r="C664" t="str">
        <f>TEXT(F664, "mmmm")</f>
        <v>August</v>
      </c>
      <c r="D664" s="3">
        <f>MONTH(F664)</f>
        <v>8</v>
      </c>
      <c r="E664" s="3">
        <f>YEAR(F664)</f>
        <v>2023</v>
      </c>
      <c r="F664" s="2">
        <v>45164</v>
      </c>
      <c r="G664" s="3" t="s">
        <v>784</v>
      </c>
      <c r="H664" s="3" t="s">
        <v>18</v>
      </c>
      <c r="I664" s="3">
        <v>34</v>
      </c>
      <c r="J664" s="3"/>
      <c r="K664" s="3" t="s">
        <v>196</v>
      </c>
      <c r="L664" s="3">
        <v>1</v>
      </c>
      <c r="M664" s="4">
        <v>30</v>
      </c>
      <c r="N664">
        <f>L664 * M664</f>
        <v>30</v>
      </c>
      <c r="O664" s="15">
        <f>N664 *$R$3</f>
        <v>0.44999999999999996</v>
      </c>
    </row>
    <row r="665" spans="1:15" ht="15.75">
      <c r="A665" s="3">
        <v>623</v>
      </c>
      <c r="B665">
        <f>DAY(F665)</f>
        <v>10</v>
      </c>
      <c r="C665" t="str">
        <f>TEXT(F665, "mmmm")</f>
        <v>March</v>
      </c>
      <c r="D665" s="3">
        <f>MONTH(F665)</f>
        <v>3</v>
      </c>
      <c r="E665" s="3">
        <f>YEAR(F665)</f>
        <v>2023</v>
      </c>
      <c r="F665" s="2">
        <v>44995</v>
      </c>
      <c r="G665" s="3" t="s">
        <v>785</v>
      </c>
      <c r="H665" s="3" t="s">
        <v>18</v>
      </c>
      <c r="I665" s="3">
        <v>34</v>
      </c>
      <c r="J665" s="3"/>
      <c r="K665" s="3" t="s">
        <v>195</v>
      </c>
      <c r="L665" s="3">
        <v>3</v>
      </c>
      <c r="M665" s="4">
        <v>50</v>
      </c>
      <c r="N665">
        <f>L665 * M665</f>
        <v>150</v>
      </c>
      <c r="O665" s="15">
        <f>N665 *$R$3</f>
        <v>2.25</v>
      </c>
    </row>
    <row r="666" spans="1:15" ht="15.75">
      <c r="A666" s="3">
        <v>624</v>
      </c>
      <c r="B666">
        <f>DAY(F666)</f>
        <v>26</v>
      </c>
      <c r="C666" t="str">
        <f>TEXT(F666, "mmmm")</f>
        <v>August</v>
      </c>
      <c r="D666" s="3">
        <f>MONTH(F666)</f>
        <v>8</v>
      </c>
      <c r="E666" s="3">
        <f>YEAR(F666)</f>
        <v>2023</v>
      </c>
      <c r="F666" s="2">
        <v>45164</v>
      </c>
      <c r="G666" s="3" t="s">
        <v>786</v>
      </c>
      <c r="H666" s="3" t="s">
        <v>198</v>
      </c>
      <c r="I666" s="3">
        <v>34</v>
      </c>
      <c r="J666" s="3"/>
      <c r="K666" s="3" t="s">
        <v>19</v>
      </c>
      <c r="L666" s="3">
        <v>3</v>
      </c>
      <c r="M666" s="4">
        <v>300</v>
      </c>
      <c r="N666">
        <f>L666 * M666</f>
        <v>900</v>
      </c>
      <c r="O666" s="15">
        <f>N666 *$R$3</f>
        <v>13.5</v>
      </c>
    </row>
    <row r="667" spans="1:15" ht="15.75">
      <c r="A667" s="3">
        <v>652</v>
      </c>
      <c r="B667">
        <f>DAY(F667)</f>
        <v>1</v>
      </c>
      <c r="C667" t="str">
        <f>TEXT(F667, "mmmm")</f>
        <v>May</v>
      </c>
      <c r="D667" s="3">
        <f>MONTH(F667)</f>
        <v>5</v>
      </c>
      <c r="E667" s="3">
        <f>YEAR(F667)</f>
        <v>2023</v>
      </c>
      <c r="F667" s="2">
        <v>45047</v>
      </c>
      <c r="G667" s="3" t="s">
        <v>787</v>
      </c>
      <c r="H667" s="3" t="s">
        <v>198</v>
      </c>
      <c r="I667" s="3">
        <v>34</v>
      </c>
      <c r="J667" s="3"/>
      <c r="K667" s="3" t="s">
        <v>19</v>
      </c>
      <c r="L667" s="3">
        <v>2</v>
      </c>
      <c r="M667" s="4">
        <v>50</v>
      </c>
      <c r="N667">
        <f>L667 * M667</f>
        <v>100</v>
      </c>
      <c r="O667" s="15">
        <f>N667 *$R$3</f>
        <v>1.5</v>
      </c>
    </row>
    <row r="668" spans="1:15" ht="15.75">
      <c r="A668" s="3">
        <v>672</v>
      </c>
      <c r="B668">
        <f>DAY(F668)</f>
        <v>1</v>
      </c>
      <c r="C668" t="str">
        <f>TEXT(F668, "mmmm")</f>
        <v>August</v>
      </c>
      <c r="D668" s="3">
        <f>MONTH(F668)</f>
        <v>8</v>
      </c>
      <c r="E668" s="3">
        <f>YEAR(F668)</f>
        <v>2023</v>
      </c>
      <c r="F668" s="2">
        <v>45139</v>
      </c>
      <c r="G668" s="3" t="s">
        <v>788</v>
      </c>
      <c r="H668" s="3" t="s">
        <v>198</v>
      </c>
      <c r="I668" s="3">
        <v>34</v>
      </c>
      <c r="J668" s="3"/>
      <c r="K668" s="3" t="s">
        <v>19</v>
      </c>
      <c r="L668" s="3">
        <v>2</v>
      </c>
      <c r="M668" s="4">
        <v>50</v>
      </c>
      <c r="N668">
        <f>L668 * M668</f>
        <v>100</v>
      </c>
      <c r="O668" s="15">
        <f>N668 *$R$3</f>
        <v>1.5</v>
      </c>
    </row>
    <row r="669" spans="1:15" ht="15.75">
      <c r="A669" s="3">
        <v>703</v>
      </c>
      <c r="B669">
        <f>DAY(F669)</f>
        <v>26</v>
      </c>
      <c r="C669" t="str">
        <f>TEXT(F669, "mmmm")</f>
        <v>March</v>
      </c>
      <c r="D669" s="3">
        <f>MONTH(F669)</f>
        <v>3</v>
      </c>
      <c r="E669" s="3">
        <f>YEAR(F669)</f>
        <v>2023</v>
      </c>
      <c r="F669" s="2">
        <v>45011</v>
      </c>
      <c r="G669" s="3" t="s">
        <v>789</v>
      </c>
      <c r="H669" s="3" t="s">
        <v>18</v>
      </c>
      <c r="I669" s="3">
        <v>34</v>
      </c>
      <c r="J669" s="3"/>
      <c r="K669" s="3" t="s">
        <v>196</v>
      </c>
      <c r="L669" s="3">
        <v>2</v>
      </c>
      <c r="M669" s="4">
        <v>50</v>
      </c>
      <c r="N669">
        <f>L669 * M669</f>
        <v>100</v>
      </c>
      <c r="O669" s="15">
        <f>N669 *$R$3</f>
        <v>1.5</v>
      </c>
    </row>
    <row r="670" spans="1:15" ht="15.75">
      <c r="A670" s="3">
        <v>713</v>
      </c>
      <c r="B670">
        <f>DAY(F670)</f>
        <v>14</v>
      </c>
      <c r="C670" t="str">
        <f>TEXT(F670, "mmmm")</f>
        <v>January</v>
      </c>
      <c r="D670" s="3">
        <f>MONTH(F670)</f>
        <v>1</v>
      </c>
      <c r="E670" s="3">
        <f>YEAR(F670)</f>
        <v>2023</v>
      </c>
      <c r="F670" s="2">
        <v>44940</v>
      </c>
      <c r="G670" s="3" t="s">
        <v>67</v>
      </c>
      <c r="H670" s="3" t="s">
        <v>18</v>
      </c>
      <c r="I670" s="3">
        <v>34</v>
      </c>
      <c r="J670" s="3"/>
      <c r="K670" s="3" t="s">
        <v>19</v>
      </c>
      <c r="L670" s="3">
        <v>3</v>
      </c>
      <c r="M670" s="4">
        <v>25</v>
      </c>
      <c r="N670">
        <f>L670 * M670</f>
        <v>75</v>
      </c>
      <c r="O670" s="15">
        <f>N670 *$R$3</f>
        <v>1.125</v>
      </c>
    </row>
    <row r="671" spans="1:15" ht="15.75">
      <c r="A671" s="3">
        <v>733</v>
      </c>
      <c r="B671">
        <f>DAY(F671)</f>
        <v>29</v>
      </c>
      <c r="C671" t="str">
        <f>TEXT(F671, "mmmm")</f>
        <v>August</v>
      </c>
      <c r="D671" s="3">
        <f>MONTH(F671)</f>
        <v>8</v>
      </c>
      <c r="E671" s="3">
        <f>YEAR(F671)</f>
        <v>2023</v>
      </c>
      <c r="F671" s="2">
        <v>45167</v>
      </c>
      <c r="G671" s="3" t="s">
        <v>40</v>
      </c>
      <c r="H671" s="3" t="s">
        <v>18</v>
      </c>
      <c r="I671" s="3">
        <v>34</v>
      </c>
      <c r="J671" s="3"/>
      <c r="K671" s="3" t="s">
        <v>19</v>
      </c>
      <c r="L671" s="3">
        <v>1</v>
      </c>
      <c r="M671" s="4">
        <v>30</v>
      </c>
      <c r="N671">
        <f>L671 * M671</f>
        <v>30</v>
      </c>
      <c r="O671" s="15">
        <f>N671 *$R$3</f>
        <v>0.44999999999999996</v>
      </c>
    </row>
    <row r="672" spans="1:15" ht="15.75">
      <c r="A672" s="3">
        <v>743</v>
      </c>
      <c r="B672">
        <f>DAY(F672)</f>
        <v>16</v>
      </c>
      <c r="C672" t="str">
        <f>TEXT(F672, "mmmm")</f>
        <v>January</v>
      </c>
      <c r="D672" s="3">
        <f>MONTH(F672)</f>
        <v>1</v>
      </c>
      <c r="E672" s="3">
        <f>YEAR(F672)</f>
        <v>2023</v>
      </c>
      <c r="F672" s="2">
        <v>44942</v>
      </c>
      <c r="G672" s="3" t="s">
        <v>790</v>
      </c>
      <c r="H672" s="3" t="s">
        <v>198</v>
      </c>
      <c r="I672" s="3">
        <v>34</v>
      </c>
      <c r="J672" s="3"/>
      <c r="K672" s="3" t="s">
        <v>19</v>
      </c>
      <c r="L672" s="3">
        <v>4</v>
      </c>
      <c r="M672" s="4">
        <v>500</v>
      </c>
      <c r="N672">
        <f>L672 * M672</f>
        <v>2000</v>
      </c>
      <c r="O672" s="15">
        <f>N672 *$R$3</f>
        <v>30</v>
      </c>
    </row>
    <row r="673" spans="1:15" ht="15.75">
      <c r="A673" s="3">
        <v>763</v>
      </c>
      <c r="B673">
        <f>DAY(F673)</f>
        <v>28</v>
      </c>
      <c r="C673" t="str">
        <f>TEXT(F673, "mmmm")</f>
        <v>February</v>
      </c>
      <c r="D673" s="3">
        <f>MONTH(F673)</f>
        <v>2</v>
      </c>
      <c r="E673" s="3">
        <f>YEAR(F673)</f>
        <v>2023</v>
      </c>
      <c r="F673" s="2">
        <v>44985</v>
      </c>
      <c r="G673" s="3" t="s">
        <v>791</v>
      </c>
      <c r="H673" s="3" t="s">
        <v>18</v>
      </c>
      <c r="I673" s="3">
        <v>34</v>
      </c>
      <c r="J673" s="3"/>
      <c r="K673" s="3" t="s">
        <v>195</v>
      </c>
      <c r="L673" s="3">
        <v>2</v>
      </c>
      <c r="M673" s="4">
        <v>25</v>
      </c>
      <c r="N673">
        <f>L673 * M673</f>
        <v>50</v>
      </c>
      <c r="O673" s="15">
        <f>N673 *$R$3</f>
        <v>0.75</v>
      </c>
    </row>
    <row r="674" spans="1:15" ht="15.75">
      <c r="A674" s="3">
        <v>784</v>
      </c>
      <c r="B674">
        <f>DAY(F674)</f>
        <v>4</v>
      </c>
      <c r="C674" t="str">
        <f>TEXT(F674, "mmmm")</f>
        <v>November</v>
      </c>
      <c r="D674" s="3">
        <f>MONTH(F674)</f>
        <v>11</v>
      </c>
      <c r="E674" s="3">
        <f>YEAR(F674)</f>
        <v>2023</v>
      </c>
      <c r="F674" s="2">
        <v>45234</v>
      </c>
      <c r="G674" s="3" t="s">
        <v>792</v>
      </c>
      <c r="H674" s="3" t="s">
        <v>198</v>
      </c>
      <c r="I674" s="3">
        <v>34</v>
      </c>
      <c r="J674" s="3"/>
      <c r="K674" s="3" t="s">
        <v>196</v>
      </c>
      <c r="L674" s="3">
        <v>1</v>
      </c>
      <c r="M674" s="4">
        <v>500</v>
      </c>
      <c r="N674">
        <f>L674 * M674</f>
        <v>500</v>
      </c>
      <c r="O674" s="15">
        <f>N674 *$R$3</f>
        <v>7.5</v>
      </c>
    </row>
    <row r="675" spans="1:15" ht="15.75">
      <c r="A675" s="3">
        <v>890</v>
      </c>
      <c r="B675">
        <f>DAY(F675)</f>
        <v>20</v>
      </c>
      <c r="C675" t="str">
        <f>TEXT(F675, "mmmm")</f>
        <v>December</v>
      </c>
      <c r="D675" s="3">
        <f>MONTH(F675)</f>
        <v>12</v>
      </c>
      <c r="E675" s="3">
        <f>YEAR(F675)</f>
        <v>2023</v>
      </c>
      <c r="F675" s="2">
        <v>45280</v>
      </c>
      <c r="G675" s="3" t="s">
        <v>793</v>
      </c>
      <c r="H675" s="3" t="s">
        <v>18</v>
      </c>
      <c r="I675" s="3">
        <v>34</v>
      </c>
      <c r="J675" s="3"/>
      <c r="K675" s="3" t="s">
        <v>196</v>
      </c>
      <c r="L675" s="3">
        <v>2</v>
      </c>
      <c r="M675" s="4">
        <v>25</v>
      </c>
      <c r="N675">
        <f>L675 * M675</f>
        <v>50</v>
      </c>
      <c r="O675" s="15">
        <f>N675 *$R$3</f>
        <v>0.75</v>
      </c>
    </row>
    <row r="676" spans="1:15" ht="15.75">
      <c r="A676" s="3">
        <v>935</v>
      </c>
      <c r="B676">
        <f>DAY(F676)</f>
        <v>9</v>
      </c>
      <c r="C676" t="str">
        <f>TEXT(F676, "mmmm")</f>
        <v>September</v>
      </c>
      <c r="D676" s="3">
        <f>MONTH(F676)</f>
        <v>9</v>
      </c>
      <c r="E676" s="3">
        <f>YEAR(F676)</f>
        <v>2023</v>
      </c>
      <c r="F676" s="2">
        <v>45178</v>
      </c>
      <c r="G676" s="3" t="s">
        <v>794</v>
      </c>
      <c r="H676" s="3" t="s">
        <v>198</v>
      </c>
      <c r="I676" s="3">
        <v>34</v>
      </c>
      <c r="J676" s="3"/>
      <c r="K676" s="3" t="s">
        <v>19</v>
      </c>
      <c r="L676" s="3">
        <v>1</v>
      </c>
      <c r="M676" s="4">
        <v>50</v>
      </c>
      <c r="N676">
        <f>L676 * M676</f>
        <v>50</v>
      </c>
      <c r="O676" s="15">
        <f>N676 *$R$3</f>
        <v>0.75</v>
      </c>
    </row>
    <row r="677" spans="1:15" ht="15.75">
      <c r="A677" s="3">
        <v>991</v>
      </c>
      <c r="B677">
        <f>DAY(F677)</f>
        <v>26</v>
      </c>
      <c r="C677" t="str">
        <f>TEXT(F677, "mmmm")</f>
        <v>December</v>
      </c>
      <c r="D677" s="3">
        <f>MONTH(F677)</f>
        <v>12</v>
      </c>
      <c r="E677" s="3">
        <f>YEAR(F677)</f>
        <v>2023</v>
      </c>
      <c r="F677" s="2">
        <v>45286</v>
      </c>
      <c r="G677" s="3" t="s">
        <v>795</v>
      </c>
      <c r="H677" s="3" t="s">
        <v>198</v>
      </c>
      <c r="I677" s="3">
        <v>34</v>
      </c>
      <c r="J677" s="3"/>
      <c r="K677" s="3" t="s">
        <v>195</v>
      </c>
      <c r="L677" s="3">
        <v>2</v>
      </c>
      <c r="M677" s="4">
        <v>50</v>
      </c>
      <c r="N677">
        <f>L677 * M677</f>
        <v>100</v>
      </c>
      <c r="O677" s="15">
        <f>N677 *$R$3</f>
        <v>1.5</v>
      </c>
    </row>
    <row r="678" spans="1:15" ht="15.75">
      <c r="A678" s="3">
        <v>124</v>
      </c>
      <c r="B678">
        <f>DAY(F678)</f>
        <v>27</v>
      </c>
      <c r="C678" t="str">
        <f>TEXT(F678, "mmmm")</f>
        <v>October</v>
      </c>
      <c r="D678" s="3">
        <f>MONTH(F678)</f>
        <v>10</v>
      </c>
      <c r="E678" s="3">
        <f>YEAR(F678)</f>
        <v>2023</v>
      </c>
      <c r="F678" s="2">
        <v>45226</v>
      </c>
      <c r="G678" s="3" t="s">
        <v>796</v>
      </c>
      <c r="H678" s="3" t="s">
        <v>18</v>
      </c>
      <c r="I678" s="3">
        <v>33</v>
      </c>
      <c r="J678" s="3"/>
      <c r="K678" s="3" t="s">
        <v>195</v>
      </c>
      <c r="L678" s="3">
        <v>4</v>
      </c>
      <c r="M678" s="4">
        <v>500</v>
      </c>
      <c r="N678">
        <f>L678 * M678</f>
        <v>2000</v>
      </c>
      <c r="O678" s="15">
        <f>N678 *$R$3</f>
        <v>30</v>
      </c>
    </row>
    <row r="679" spans="1:15" ht="15.75">
      <c r="A679" s="3">
        <v>127</v>
      </c>
      <c r="B679">
        <f>DAY(F679)</f>
        <v>24</v>
      </c>
      <c r="C679" t="str">
        <f>TEXT(F679, "mmmm")</f>
        <v>July</v>
      </c>
      <c r="D679" s="3">
        <f>MONTH(F679)</f>
        <v>7</v>
      </c>
      <c r="E679" s="3">
        <f>YEAR(F679)</f>
        <v>2023</v>
      </c>
      <c r="F679" s="2">
        <v>45131</v>
      </c>
      <c r="G679" s="3" t="s">
        <v>797</v>
      </c>
      <c r="H679" s="3" t="s">
        <v>198</v>
      </c>
      <c r="I679" s="3">
        <v>33</v>
      </c>
      <c r="J679" s="3"/>
      <c r="K679" s="3" t="s">
        <v>195</v>
      </c>
      <c r="L679" s="3">
        <v>2</v>
      </c>
      <c r="M679" s="4">
        <v>25</v>
      </c>
      <c r="N679">
        <f>L679 * M679</f>
        <v>50</v>
      </c>
      <c r="O679" s="15">
        <f>N679 *$R$3</f>
        <v>0.75</v>
      </c>
    </row>
    <row r="680" spans="1:15" ht="15.75">
      <c r="A680" s="3">
        <v>526</v>
      </c>
      <c r="B680">
        <f>DAY(F680)</f>
        <v>10</v>
      </c>
      <c r="C680" t="str">
        <f>TEXT(F680, "mmmm")</f>
        <v>December</v>
      </c>
      <c r="D680" s="3">
        <f>MONTH(F680)</f>
        <v>12</v>
      </c>
      <c r="E680" s="3">
        <f>YEAR(F680)</f>
        <v>2023</v>
      </c>
      <c r="F680" s="2">
        <v>45270</v>
      </c>
      <c r="G680" s="3" t="s">
        <v>798</v>
      </c>
      <c r="H680" s="3" t="s">
        <v>18</v>
      </c>
      <c r="I680" s="3">
        <v>33</v>
      </c>
      <c r="J680" s="3"/>
      <c r="K680" s="3" t="s">
        <v>195</v>
      </c>
      <c r="L680" s="3">
        <v>2</v>
      </c>
      <c r="M680" s="4">
        <v>50</v>
      </c>
      <c r="N680">
        <f>L680 * M680</f>
        <v>100</v>
      </c>
      <c r="O680" s="15">
        <f>N680 *$R$3</f>
        <v>1.5</v>
      </c>
    </row>
    <row r="681" spans="1:15" ht="15.75">
      <c r="A681" s="3">
        <v>576</v>
      </c>
      <c r="B681">
        <f>DAY(F681)</f>
        <v>4</v>
      </c>
      <c r="C681" t="str">
        <f>TEXT(F681, "mmmm")</f>
        <v>December</v>
      </c>
      <c r="D681" s="3">
        <f>MONTH(F681)</f>
        <v>12</v>
      </c>
      <c r="E681" s="3">
        <f>YEAR(F681)</f>
        <v>2023</v>
      </c>
      <c r="F681" s="2">
        <v>45264</v>
      </c>
      <c r="G681" s="3" t="s">
        <v>799</v>
      </c>
      <c r="H681" s="3" t="s">
        <v>198</v>
      </c>
      <c r="I681" s="3">
        <v>33</v>
      </c>
      <c r="J681" s="3"/>
      <c r="K681" s="3" t="s">
        <v>19</v>
      </c>
      <c r="L681" s="3">
        <v>3</v>
      </c>
      <c r="M681" s="4">
        <v>50</v>
      </c>
      <c r="N681">
        <f>L681 * M681</f>
        <v>150</v>
      </c>
      <c r="O681" s="15">
        <f>N681 *$R$3</f>
        <v>2.25</v>
      </c>
    </row>
    <row r="682" spans="1:15" ht="15.75">
      <c r="A682" s="3">
        <v>737</v>
      </c>
      <c r="B682">
        <f>DAY(F682)</f>
        <v>29</v>
      </c>
      <c r="C682" t="str">
        <f>TEXT(F682, "mmmm")</f>
        <v>June</v>
      </c>
      <c r="D682" s="3">
        <f>MONTH(F682)</f>
        <v>6</v>
      </c>
      <c r="E682" s="3">
        <f>YEAR(F682)</f>
        <v>2023</v>
      </c>
      <c r="F682" s="2">
        <v>45106</v>
      </c>
      <c r="G682" s="3" t="s">
        <v>800</v>
      </c>
      <c r="H682" s="3" t="s">
        <v>198</v>
      </c>
      <c r="I682" s="3">
        <v>33</v>
      </c>
      <c r="J682" s="3"/>
      <c r="K682" s="3" t="s">
        <v>195</v>
      </c>
      <c r="L682" s="3">
        <v>1</v>
      </c>
      <c r="M682" s="4">
        <v>50</v>
      </c>
      <c r="N682">
        <f>L682 * M682</f>
        <v>50</v>
      </c>
      <c r="O682" s="15">
        <f>N682 *$R$3</f>
        <v>0.75</v>
      </c>
    </row>
    <row r="683" spans="1:15" ht="15.75">
      <c r="A683" s="3">
        <v>746</v>
      </c>
      <c r="B683">
        <f>DAY(F683)</f>
        <v>11</v>
      </c>
      <c r="C683" t="str">
        <f>TEXT(F683, "mmmm")</f>
        <v>January</v>
      </c>
      <c r="D683" s="3">
        <f>MONTH(F683)</f>
        <v>1</v>
      </c>
      <c r="E683" s="3">
        <f>YEAR(F683)</f>
        <v>2023</v>
      </c>
      <c r="F683" s="2">
        <v>44937</v>
      </c>
      <c r="G683" s="3" t="s">
        <v>801</v>
      </c>
      <c r="H683" s="3" t="s">
        <v>198</v>
      </c>
      <c r="I683" s="3">
        <v>33</v>
      </c>
      <c r="J683" s="3"/>
      <c r="K683" s="3" t="s">
        <v>195</v>
      </c>
      <c r="L683" s="3">
        <v>3</v>
      </c>
      <c r="M683" s="4">
        <v>30</v>
      </c>
      <c r="N683">
        <f>L683 * M683</f>
        <v>90</v>
      </c>
      <c r="O683" s="15">
        <f>N683 *$R$3</f>
        <v>1.3499999999999999</v>
      </c>
    </row>
    <row r="684" spans="1:15" ht="15.75">
      <c r="A684" s="3">
        <v>761</v>
      </c>
      <c r="B684">
        <f>DAY(F684)</f>
        <v>7</v>
      </c>
      <c r="C684" t="str">
        <f>TEXT(F684, "mmmm")</f>
        <v>November</v>
      </c>
      <c r="D684" s="3">
        <f>MONTH(F684)</f>
        <v>11</v>
      </c>
      <c r="E684" s="3">
        <f>YEAR(F684)</f>
        <v>2023</v>
      </c>
      <c r="F684" s="2">
        <v>45237</v>
      </c>
      <c r="G684" s="3" t="s">
        <v>802</v>
      </c>
      <c r="H684" s="3" t="s">
        <v>198</v>
      </c>
      <c r="I684" s="3">
        <v>33</v>
      </c>
      <c r="J684" s="3"/>
      <c r="K684" s="3" t="s">
        <v>195</v>
      </c>
      <c r="L684" s="3">
        <v>1</v>
      </c>
      <c r="M684" s="4">
        <v>500</v>
      </c>
      <c r="N684">
        <f>L684 * M684</f>
        <v>500</v>
      </c>
      <c r="O684" s="15">
        <f>N684 *$R$3</f>
        <v>7.5</v>
      </c>
    </row>
    <row r="685" spans="1:15" ht="15.75">
      <c r="A685" s="3">
        <v>808</v>
      </c>
      <c r="B685">
        <f>DAY(F685)</f>
        <v>1</v>
      </c>
      <c r="C685" t="str">
        <f>TEXT(F685, "mmmm")</f>
        <v>April</v>
      </c>
      <c r="D685" s="3">
        <f>MONTH(F685)</f>
        <v>4</v>
      </c>
      <c r="E685" s="3">
        <f>YEAR(F685)</f>
        <v>2023</v>
      </c>
      <c r="F685" s="2">
        <v>45017</v>
      </c>
      <c r="G685" s="3" t="s">
        <v>165</v>
      </c>
      <c r="H685" s="3" t="s">
        <v>18</v>
      </c>
      <c r="I685" s="3">
        <v>33</v>
      </c>
      <c r="J685" s="3"/>
      <c r="K685" s="3" t="s">
        <v>19</v>
      </c>
      <c r="L685" s="3">
        <v>4</v>
      </c>
      <c r="M685" s="4">
        <v>500</v>
      </c>
      <c r="N685">
        <f>L685 * M685</f>
        <v>2000</v>
      </c>
      <c r="O685" s="15">
        <f>N685 *$R$3</f>
        <v>30</v>
      </c>
    </row>
    <row r="686" spans="1:15" ht="15.75">
      <c r="A686" s="3">
        <v>828</v>
      </c>
      <c r="B686">
        <f>DAY(F686)</f>
        <v>9</v>
      </c>
      <c r="C686" t="str">
        <f>TEXT(F686, "mmmm")</f>
        <v>December</v>
      </c>
      <c r="D686" s="3">
        <f>MONTH(F686)</f>
        <v>12</v>
      </c>
      <c r="E686" s="3">
        <f>YEAR(F686)</f>
        <v>2023</v>
      </c>
      <c r="F686" s="2">
        <v>45269</v>
      </c>
      <c r="G686" s="3" t="s">
        <v>803</v>
      </c>
      <c r="H686" s="3" t="s">
        <v>198</v>
      </c>
      <c r="I686" s="3">
        <v>33</v>
      </c>
      <c r="J686" s="3"/>
      <c r="K686" s="3" t="s">
        <v>196</v>
      </c>
      <c r="L686" s="3">
        <v>4</v>
      </c>
      <c r="M686" s="4">
        <v>300</v>
      </c>
      <c r="N686">
        <f>L686 * M686</f>
        <v>1200</v>
      </c>
      <c r="O686" s="15">
        <f>N686 *$R$3</f>
        <v>18</v>
      </c>
    </row>
    <row r="687" spans="1:15" ht="15.75">
      <c r="A687" s="3">
        <v>951</v>
      </c>
      <c r="B687">
        <f>DAY(F687)</f>
        <v>2</v>
      </c>
      <c r="C687" t="str">
        <f>TEXT(F687, "mmmm")</f>
        <v>November</v>
      </c>
      <c r="D687" s="3">
        <f>MONTH(F687)</f>
        <v>11</v>
      </c>
      <c r="E687" s="3">
        <f>YEAR(F687)</f>
        <v>2023</v>
      </c>
      <c r="F687" s="2">
        <v>45232</v>
      </c>
      <c r="G687" s="3" t="s">
        <v>83</v>
      </c>
      <c r="H687" s="3" t="s">
        <v>18</v>
      </c>
      <c r="I687" s="3">
        <v>33</v>
      </c>
      <c r="J687" s="3"/>
      <c r="K687" s="3" t="s">
        <v>19</v>
      </c>
      <c r="L687" s="3">
        <v>2</v>
      </c>
      <c r="M687" s="4">
        <v>50</v>
      </c>
      <c r="N687">
        <f>L687 * M687</f>
        <v>100</v>
      </c>
      <c r="O687" s="15">
        <f>N687 *$R$3</f>
        <v>1.5</v>
      </c>
    </row>
    <row r="688" spans="1:15" ht="15.75">
      <c r="A688" s="3">
        <v>82</v>
      </c>
      <c r="B688">
        <f>DAY(F688)</f>
        <v>26</v>
      </c>
      <c r="C688" t="str">
        <f>TEXT(F688, "mmmm")</f>
        <v>December</v>
      </c>
      <c r="D688" s="3">
        <f>MONTH(F688)</f>
        <v>12</v>
      </c>
      <c r="E688" s="3">
        <f>YEAR(F688)</f>
        <v>2023</v>
      </c>
      <c r="F688" s="2">
        <v>45286</v>
      </c>
      <c r="G688" s="3" t="s">
        <v>804</v>
      </c>
      <c r="H688" s="3" t="s">
        <v>198</v>
      </c>
      <c r="I688" s="3">
        <v>32</v>
      </c>
      <c r="J688" s="3"/>
      <c r="K688" s="3" t="s">
        <v>19</v>
      </c>
      <c r="L688" s="3">
        <v>4</v>
      </c>
      <c r="M688" s="4">
        <v>50</v>
      </c>
      <c r="N688">
        <f>L688 * M688</f>
        <v>200</v>
      </c>
      <c r="O688" s="15">
        <f>N688 *$R$3</f>
        <v>3</v>
      </c>
    </row>
    <row r="689" spans="1:15" ht="15.75">
      <c r="A689" s="3">
        <v>95</v>
      </c>
      <c r="B689">
        <f>DAY(F689)</f>
        <v>24</v>
      </c>
      <c r="C689" t="str">
        <f>TEXT(F689, "mmmm")</f>
        <v>November</v>
      </c>
      <c r="D689" s="3">
        <f>MONTH(F689)</f>
        <v>11</v>
      </c>
      <c r="E689" s="3">
        <f>YEAR(F689)</f>
        <v>2023</v>
      </c>
      <c r="F689" s="2">
        <v>45254</v>
      </c>
      <c r="G689" s="3" t="s">
        <v>805</v>
      </c>
      <c r="H689" s="3" t="s">
        <v>198</v>
      </c>
      <c r="I689" s="3">
        <v>32</v>
      </c>
      <c r="J689" s="3"/>
      <c r="K689" s="3" t="s">
        <v>195</v>
      </c>
      <c r="L689" s="3">
        <v>2</v>
      </c>
      <c r="M689" s="4">
        <v>30</v>
      </c>
      <c r="N689">
        <f>L689 * M689</f>
        <v>60</v>
      </c>
      <c r="O689" s="15">
        <f>N689 *$R$3</f>
        <v>0.89999999999999991</v>
      </c>
    </row>
    <row r="690" spans="1:15" ht="15.75">
      <c r="A690" s="3">
        <v>101</v>
      </c>
      <c r="B690">
        <f>DAY(F690)</f>
        <v>29</v>
      </c>
      <c r="C690" t="str">
        <f>TEXT(F690, "mmmm")</f>
        <v>January</v>
      </c>
      <c r="D690" s="3">
        <f>MONTH(F690)</f>
        <v>1</v>
      </c>
      <c r="E690" s="3">
        <f>YEAR(F690)</f>
        <v>2023</v>
      </c>
      <c r="F690" s="2">
        <v>44955</v>
      </c>
      <c r="G690" s="3" t="s">
        <v>806</v>
      </c>
      <c r="H690" s="3" t="s">
        <v>18</v>
      </c>
      <c r="I690" s="3">
        <v>32</v>
      </c>
      <c r="J690" s="3"/>
      <c r="K690" s="3" t="s">
        <v>195</v>
      </c>
      <c r="L690" s="3">
        <v>2</v>
      </c>
      <c r="M690" s="4">
        <v>300</v>
      </c>
      <c r="N690">
        <f>L690 * M690</f>
        <v>600</v>
      </c>
      <c r="O690" s="15">
        <f>N690 *$R$3</f>
        <v>9</v>
      </c>
    </row>
    <row r="691" spans="1:15" ht="15.75">
      <c r="A691" s="3">
        <v>172</v>
      </c>
      <c r="B691">
        <f>DAY(F691)</f>
        <v>17</v>
      </c>
      <c r="C691" t="str">
        <f>TEXT(F691, "mmmm")</f>
        <v>September</v>
      </c>
      <c r="D691" s="3">
        <f>MONTH(F691)</f>
        <v>9</v>
      </c>
      <c r="E691" s="3">
        <f>YEAR(F691)</f>
        <v>2023</v>
      </c>
      <c r="F691" s="2">
        <v>45186</v>
      </c>
      <c r="G691" s="3" t="s">
        <v>54</v>
      </c>
      <c r="H691" s="3" t="s">
        <v>18</v>
      </c>
      <c r="I691" s="3">
        <v>32</v>
      </c>
      <c r="J691" s="3"/>
      <c r="K691" s="3" t="s">
        <v>19</v>
      </c>
      <c r="L691" s="3">
        <v>2</v>
      </c>
      <c r="M691" s="4">
        <v>25</v>
      </c>
      <c r="N691">
        <f>L691 * M691</f>
        <v>50</v>
      </c>
      <c r="O691" s="15">
        <f>N691 *$R$3</f>
        <v>0.75</v>
      </c>
    </row>
    <row r="692" spans="1:15" ht="15.75">
      <c r="A692" s="3">
        <v>196</v>
      </c>
      <c r="B692">
        <f>DAY(F692)</f>
        <v>30</v>
      </c>
      <c r="C692" t="str">
        <f>TEXT(F692, "mmmm")</f>
        <v>September</v>
      </c>
      <c r="D692" s="3">
        <f>MONTH(F692)</f>
        <v>9</v>
      </c>
      <c r="E692" s="3">
        <f>YEAR(F692)</f>
        <v>2023</v>
      </c>
      <c r="F692" s="2">
        <v>45199</v>
      </c>
      <c r="G692" s="3" t="s">
        <v>807</v>
      </c>
      <c r="H692" s="3" t="s">
        <v>198</v>
      </c>
      <c r="I692" s="3">
        <v>32</v>
      </c>
      <c r="J692" s="3"/>
      <c r="K692" s="3" t="s">
        <v>195</v>
      </c>
      <c r="L692" s="3">
        <v>3</v>
      </c>
      <c r="M692" s="4">
        <v>300</v>
      </c>
      <c r="N692">
        <f>L692 * M692</f>
        <v>900</v>
      </c>
      <c r="O692" s="15">
        <f>N692 *$R$3</f>
        <v>13.5</v>
      </c>
    </row>
    <row r="693" spans="1:15" ht="15.75">
      <c r="A693" s="3">
        <v>262</v>
      </c>
      <c r="B693">
        <f>DAY(F693)</f>
        <v>30</v>
      </c>
      <c r="C693" t="str">
        <f>TEXT(F693, "mmmm")</f>
        <v>July</v>
      </c>
      <c r="D693" s="3">
        <f>MONTH(F693)</f>
        <v>7</v>
      </c>
      <c r="E693" s="3">
        <f>YEAR(F693)</f>
        <v>2023</v>
      </c>
      <c r="F693" s="2">
        <v>45137</v>
      </c>
      <c r="G693" s="3" t="s">
        <v>808</v>
      </c>
      <c r="H693" s="3" t="s">
        <v>198</v>
      </c>
      <c r="I693" s="3">
        <v>32</v>
      </c>
      <c r="J693" s="3"/>
      <c r="K693" s="3" t="s">
        <v>19</v>
      </c>
      <c r="L693" s="3">
        <v>4</v>
      </c>
      <c r="M693" s="4">
        <v>30</v>
      </c>
      <c r="N693">
        <f>L693 * M693</f>
        <v>120</v>
      </c>
      <c r="O693" s="15">
        <f>N693 *$R$3</f>
        <v>1.7999999999999998</v>
      </c>
    </row>
    <row r="694" spans="1:15" ht="15.75">
      <c r="A694" s="3">
        <v>267</v>
      </c>
      <c r="B694">
        <f>DAY(F694)</f>
        <v>27</v>
      </c>
      <c r="C694" t="str">
        <f>TEXT(F694, "mmmm")</f>
        <v>November</v>
      </c>
      <c r="D694" s="3">
        <f>MONTH(F694)</f>
        <v>11</v>
      </c>
      <c r="E694" s="3">
        <f>YEAR(F694)</f>
        <v>2023</v>
      </c>
      <c r="F694" s="2">
        <v>45257</v>
      </c>
      <c r="G694" s="3" t="s">
        <v>809</v>
      </c>
      <c r="H694" s="3" t="s">
        <v>198</v>
      </c>
      <c r="I694" s="3">
        <v>32</v>
      </c>
      <c r="J694" s="3"/>
      <c r="K694" s="3" t="s">
        <v>19</v>
      </c>
      <c r="L694" s="3">
        <v>3</v>
      </c>
      <c r="M694" s="4">
        <v>30</v>
      </c>
      <c r="N694">
        <f>L694 * M694</f>
        <v>90</v>
      </c>
      <c r="O694" s="15">
        <f>N694 *$R$3</f>
        <v>1.3499999999999999</v>
      </c>
    </row>
    <row r="695" spans="1:15" ht="15.75">
      <c r="A695" s="3">
        <v>311</v>
      </c>
      <c r="B695">
        <f>DAY(F695)</f>
        <v>5</v>
      </c>
      <c r="C695" t="str">
        <f>TEXT(F695, "mmmm")</f>
        <v>December</v>
      </c>
      <c r="D695" s="3">
        <f>MONTH(F695)</f>
        <v>12</v>
      </c>
      <c r="E695" s="3">
        <f>YEAR(F695)</f>
        <v>2023</v>
      </c>
      <c r="F695" s="2">
        <v>45265</v>
      </c>
      <c r="G695" s="3" t="s">
        <v>810</v>
      </c>
      <c r="H695" s="3" t="s">
        <v>198</v>
      </c>
      <c r="I695" s="3">
        <v>32</v>
      </c>
      <c r="J695" s="3"/>
      <c r="K695" s="3" t="s">
        <v>19</v>
      </c>
      <c r="L695" s="3">
        <v>4</v>
      </c>
      <c r="M695" s="4">
        <v>25</v>
      </c>
      <c r="N695">
        <f>L695 * M695</f>
        <v>100</v>
      </c>
      <c r="O695" s="15">
        <f>N695 *$R$3</f>
        <v>1.5</v>
      </c>
    </row>
    <row r="696" spans="1:15" ht="15.75">
      <c r="A696" s="3">
        <v>358</v>
      </c>
      <c r="B696">
        <f>DAY(F696)</f>
        <v>16</v>
      </c>
      <c r="C696" t="str">
        <f>TEXT(F696, "mmmm")</f>
        <v>May</v>
      </c>
      <c r="D696" s="3">
        <f>MONTH(F696)</f>
        <v>5</v>
      </c>
      <c r="E696" s="3">
        <f>YEAR(F696)</f>
        <v>2023</v>
      </c>
      <c r="F696" s="2">
        <v>45062</v>
      </c>
      <c r="G696" s="3" t="s">
        <v>811</v>
      </c>
      <c r="H696" s="3" t="s">
        <v>198</v>
      </c>
      <c r="I696" s="3">
        <v>32</v>
      </c>
      <c r="J696" s="3"/>
      <c r="K696" s="3" t="s">
        <v>19</v>
      </c>
      <c r="L696" s="3">
        <v>1</v>
      </c>
      <c r="M696" s="4">
        <v>300</v>
      </c>
      <c r="N696">
        <f>L696 * M696</f>
        <v>300</v>
      </c>
      <c r="O696" s="15">
        <f>N696 *$R$3</f>
        <v>4.5</v>
      </c>
    </row>
    <row r="697" spans="1:15" ht="15.75">
      <c r="A697" s="3">
        <v>375</v>
      </c>
      <c r="B697">
        <f>DAY(F697)</f>
        <v>17</v>
      </c>
      <c r="C697" t="str">
        <f>TEXT(F697, "mmmm")</f>
        <v>September</v>
      </c>
      <c r="D697" s="3">
        <f>MONTH(F697)</f>
        <v>9</v>
      </c>
      <c r="E697" s="3">
        <f>YEAR(F697)</f>
        <v>2023</v>
      </c>
      <c r="F697" s="2">
        <v>45186</v>
      </c>
      <c r="G697" s="3" t="s">
        <v>812</v>
      </c>
      <c r="H697" s="3" t="s">
        <v>18</v>
      </c>
      <c r="I697" s="3">
        <v>32</v>
      </c>
      <c r="J697" s="3"/>
      <c r="K697" s="3" t="s">
        <v>195</v>
      </c>
      <c r="L697" s="3">
        <v>1</v>
      </c>
      <c r="M697" s="4">
        <v>50</v>
      </c>
      <c r="N697">
        <f>L697 * M697</f>
        <v>50</v>
      </c>
      <c r="O697" s="15">
        <f>N697 *$R$3</f>
        <v>0.75</v>
      </c>
    </row>
    <row r="698" spans="1:15" ht="15.75">
      <c r="A698" s="3">
        <v>403</v>
      </c>
      <c r="B698">
        <f>DAY(F698)</f>
        <v>20</v>
      </c>
      <c r="C698" t="str">
        <f>TEXT(F698, "mmmm")</f>
        <v>May</v>
      </c>
      <c r="D698" s="3">
        <f>MONTH(F698)</f>
        <v>5</v>
      </c>
      <c r="E698" s="3">
        <f>YEAR(F698)</f>
        <v>2023</v>
      </c>
      <c r="F698" s="2">
        <v>45066</v>
      </c>
      <c r="G698" s="3" t="s">
        <v>813</v>
      </c>
      <c r="H698" s="3" t="s">
        <v>18</v>
      </c>
      <c r="I698" s="3">
        <v>32</v>
      </c>
      <c r="J698" s="3"/>
      <c r="K698" s="3" t="s">
        <v>195</v>
      </c>
      <c r="L698" s="3">
        <v>2</v>
      </c>
      <c r="M698" s="4">
        <v>300</v>
      </c>
      <c r="N698">
        <f>L698 * M698</f>
        <v>600</v>
      </c>
      <c r="O698" s="15">
        <f>N698 *$R$3</f>
        <v>9</v>
      </c>
    </row>
    <row r="699" spans="1:15" ht="15.75">
      <c r="A699" s="3">
        <v>471</v>
      </c>
      <c r="B699">
        <f>DAY(F699)</f>
        <v>23</v>
      </c>
      <c r="C699" t="str">
        <f>TEXT(F699, "mmmm")</f>
        <v>March</v>
      </c>
      <c r="D699" s="3">
        <f>MONTH(F699)</f>
        <v>3</v>
      </c>
      <c r="E699" s="3">
        <f>YEAR(F699)</f>
        <v>2023</v>
      </c>
      <c r="F699" s="2">
        <v>45008</v>
      </c>
      <c r="G699" s="3" t="s">
        <v>814</v>
      </c>
      <c r="H699" s="3" t="s">
        <v>18</v>
      </c>
      <c r="I699" s="3">
        <v>32</v>
      </c>
      <c r="J699" s="3"/>
      <c r="K699" s="3" t="s">
        <v>195</v>
      </c>
      <c r="L699" s="3">
        <v>3</v>
      </c>
      <c r="M699" s="4">
        <v>50</v>
      </c>
      <c r="N699">
        <f>L699 * M699</f>
        <v>150</v>
      </c>
      <c r="O699" s="15">
        <f>N699 *$R$3</f>
        <v>2.25</v>
      </c>
    </row>
    <row r="700" spans="1:15" ht="15.75">
      <c r="A700" s="3">
        <v>753</v>
      </c>
      <c r="B700">
        <f>DAY(F700)</f>
        <v>28</v>
      </c>
      <c r="C700" t="str">
        <f>TEXT(F700, "mmmm")</f>
        <v>February</v>
      </c>
      <c r="D700" s="3">
        <f>MONTH(F700)</f>
        <v>2</v>
      </c>
      <c r="E700" s="3">
        <f>YEAR(F700)</f>
        <v>2023</v>
      </c>
      <c r="F700" s="2">
        <v>44985</v>
      </c>
      <c r="G700" s="3" t="s">
        <v>815</v>
      </c>
      <c r="H700" s="3" t="s">
        <v>198</v>
      </c>
      <c r="I700" s="3">
        <v>32</v>
      </c>
      <c r="J700" s="3"/>
      <c r="K700" s="3" t="s">
        <v>195</v>
      </c>
      <c r="L700" s="3">
        <v>1</v>
      </c>
      <c r="M700" s="4">
        <v>30</v>
      </c>
      <c r="N700">
        <f>L700 * M700</f>
        <v>30</v>
      </c>
      <c r="O700" s="15">
        <f>N700 *$R$3</f>
        <v>0.44999999999999996</v>
      </c>
    </row>
    <row r="701" spans="1:15" ht="15.75">
      <c r="A701" s="3">
        <v>770</v>
      </c>
      <c r="B701">
        <f>DAY(F701)</f>
        <v>22</v>
      </c>
      <c r="C701" t="str">
        <f>TEXT(F701, "mmmm")</f>
        <v>October</v>
      </c>
      <c r="D701" s="3">
        <f>MONTH(F701)</f>
        <v>10</v>
      </c>
      <c r="E701" s="3">
        <f>YEAR(F701)</f>
        <v>2023</v>
      </c>
      <c r="F701" s="2">
        <v>45221</v>
      </c>
      <c r="G701" s="3" t="s">
        <v>816</v>
      </c>
      <c r="H701" s="3" t="s">
        <v>18</v>
      </c>
      <c r="I701" s="3">
        <v>32</v>
      </c>
      <c r="J701" s="3"/>
      <c r="K701" s="3" t="s">
        <v>195</v>
      </c>
      <c r="L701" s="3">
        <v>1</v>
      </c>
      <c r="M701" s="4">
        <v>50</v>
      </c>
      <c r="N701">
        <f>L701 * M701</f>
        <v>50</v>
      </c>
      <c r="O701" s="15">
        <f>N701 *$R$3</f>
        <v>0.75</v>
      </c>
    </row>
    <row r="702" spans="1:15" ht="15.75">
      <c r="A702" s="3">
        <v>800</v>
      </c>
      <c r="B702">
        <f>DAY(F702)</f>
        <v>24</v>
      </c>
      <c r="C702" t="str">
        <f>TEXT(F702, "mmmm")</f>
        <v>February</v>
      </c>
      <c r="D702" s="3">
        <f>MONTH(F702)</f>
        <v>2</v>
      </c>
      <c r="E702" s="3">
        <f>YEAR(F702)</f>
        <v>2023</v>
      </c>
      <c r="F702" s="2">
        <v>44981</v>
      </c>
      <c r="G702" s="3" t="s">
        <v>817</v>
      </c>
      <c r="H702" s="3" t="s">
        <v>18</v>
      </c>
      <c r="I702" s="3">
        <v>32</v>
      </c>
      <c r="J702" s="3"/>
      <c r="K702" s="3" t="s">
        <v>195</v>
      </c>
      <c r="L702" s="3">
        <v>4</v>
      </c>
      <c r="M702" s="4">
        <v>300</v>
      </c>
      <c r="N702">
        <f>L702 * M702</f>
        <v>1200</v>
      </c>
      <c r="O702" s="15">
        <f>N702 *$R$3</f>
        <v>18</v>
      </c>
    </row>
    <row r="703" spans="1:15" ht="15.75">
      <c r="A703" s="3">
        <v>849</v>
      </c>
      <c r="B703">
        <f>DAY(F703)</f>
        <v>4</v>
      </c>
      <c r="C703" t="str">
        <f>TEXT(F703, "mmmm")</f>
        <v>May</v>
      </c>
      <c r="D703" s="3">
        <f>MONTH(F703)</f>
        <v>5</v>
      </c>
      <c r="E703" s="3">
        <f>YEAR(F703)</f>
        <v>2023</v>
      </c>
      <c r="F703" s="2">
        <v>45050</v>
      </c>
      <c r="G703" s="3" t="s">
        <v>818</v>
      </c>
      <c r="H703" s="3" t="s">
        <v>18</v>
      </c>
      <c r="I703" s="3">
        <v>32</v>
      </c>
      <c r="J703" s="3"/>
      <c r="K703" s="3" t="s">
        <v>195</v>
      </c>
      <c r="L703" s="3">
        <v>2</v>
      </c>
      <c r="M703" s="4">
        <v>25</v>
      </c>
      <c r="N703">
        <f>L703 * M703</f>
        <v>50</v>
      </c>
      <c r="O703" s="15">
        <f>N703 *$R$3</f>
        <v>0.75</v>
      </c>
    </row>
    <row r="704" spans="1:15" ht="15.75">
      <c r="A704" s="3">
        <v>851</v>
      </c>
      <c r="B704">
        <f>DAY(F704)</f>
        <v>8</v>
      </c>
      <c r="C704" t="str">
        <f>TEXT(F704, "mmmm")</f>
        <v>September</v>
      </c>
      <c r="D704" s="3">
        <f>MONTH(F704)</f>
        <v>9</v>
      </c>
      <c r="E704" s="3">
        <f>YEAR(F704)</f>
        <v>2023</v>
      </c>
      <c r="F704" s="2">
        <v>45177</v>
      </c>
      <c r="G704" s="3" t="s">
        <v>819</v>
      </c>
      <c r="H704" s="3" t="s">
        <v>18</v>
      </c>
      <c r="I704" s="3">
        <v>32</v>
      </c>
      <c r="J704" s="3"/>
      <c r="K704" s="3" t="s">
        <v>196</v>
      </c>
      <c r="L704" s="3">
        <v>2</v>
      </c>
      <c r="M704" s="4">
        <v>25</v>
      </c>
      <c r="N704">
        <f>L704 * M704</f>
        <v>50</v>
      </c>
      <c r="O704" s="15">
        <f>N704 *$R$3</f>
        <v>0.75</v>
      </c>
    </row>
    <row r="705" spans="1:15" ht="15.75">
      <c r="A705" s="3">
        <v>916</v>
      </c>
      <c r="B705">
        <f>DAY(F705)</f>
        <v>24</v>
      </c>
      <c r="C705" t="str">
        <f>TEXT(F705, "mmmm")</f>
        <v>December</v>
      </c>
      <c r="D705" s="3">
        <f>MONTH(F705)</f>
        <v>12</v>
      </c>
      <c r="E705" s="3">
        <f>YEAR(F705)</f>
        <v>2023</v>
      </c>
      <c r="F705" s="2">
        <v>45284</v>
      </c>
      <c r="G705" s="3" t="s">
        <v>820</v>
      </c>
      <c r="H705" s="3" t="s">
        <v>198</v>
      </c>
      <c r="I705" s="3">
        <v>32</v>
      </c>
      <c r="J705" s="3"/>
      <c r="K705" s="3" t="s">
        <v>196</v>
      </c>
      <c r="L705" s="3">
        <v>1</v>
      </c>
      <c r="M705" s="4">
        <v>50</v>
      </c>
      <c r="N705">
        <f>L705 * M705</f>
        <v>50</v>
      </c>
      <c r="O705" s="15">
        <f>N705 *$R$3</f>
        <v>0.75</v>
      </c>
    </row>
    <row r="706" spans="1:15" ht="15.75">
      <c r="A706" s="3">
        <v>923</v>
      </c>
      <c r="B706">
        <f>DAY(F706)</f>
        <v>26</v>
      </c>
      <c r="C706" t="str">
        <f>TEXT(F706, "mmmm")</f>
        <v>May</v>
      </c>
      <c r="D706" s="3">
        <f>MONTH(F706)</f>
        <v>5</v>
      </c>
      <c r="E706" s="3">
        <f>YEAR(F706)</f>
        <v>2023</v>
      </c>
      <c r="F706" s="2">
        <v>45072</v>
      </c>
      <c r="G706" s="3" t="s">
        <v>131</v>
      </c>
      <c r="H706" s="3" t="s">
        <v>18</v>
      </c>
      <c r="I706" s="3">
        <v>32</v>
      </c>
      <c r="J706" s="3"/>
      <c r="K706" s="3" t="s">
        <v>19</v>
      </c>
      <c r="L706" s="3">
        <v>3</v>
      </c>
      <c r="M706" s="4">
        <v>300</v>
      </c>
      <c r="N706">
        <f>L706 * M706</f>
        <v>900</v>
      </c>
      <c r="O706" s="15">
        <f>N706 *$R$3</f>
        <v>13.5</v>
      </c>
    </row>
    <row r="707" spans="1:15" ht="15.75">
      <c r="A707" s="3">
        <v>55</v>
      </c>
      <c r="B707">
        <f>DAY(F707)</f>
        <v>10</v>
      </c>
      <c r="C707" t="str">
        <f>TEXT(F707, "mmmm")</f>
        <v>October</v>
      </c>
      <c r="D707" s="3">
        <f>MONTH(F707)</f>
        <v>10</v>
      </c>
      <c r="E707" s="3">
        <f>YEAR(F707)</f>
        <v>2023</v>
      </c>
      <c r="F707" s="2">
        <v>45209</v>
      </c>
      <c r="G707" s="3" t="s">
        <v>99</v>
      </c>
      <c r="H707" s="3" t="s">
        <v>18</v>
      </c>
      <c r="I707" s="3">
        <v>31</v>
      </c>
      <c r="J707" s="3"/>
      <c r="K707" s="3" t="s">
        <v>19</v>
      </c>
      <c r="L707" s="3">
        <v>4</v>
      </c>
      <c r="M707" s="4">
        <v>30</v>
      </c>
      <c r="N707">
        <f>L707 * M707</f>
        <v>120</v>
      </c>
      <c r="O707" s="15">
        <f>N707 *$R$3</f>
        <v>1.7999999999999998</v>
      </c>
    </row>
    <row r="708" spans="1:15" ht="15.75">
      <c r="A708" s="3">
        <v>85</v>
      </c>
      <c r="B708">
        <f>DAY(F708)</f>
        <v>6</v>
      </c>
      <c r="C708" t="str">
        <f>TEXT(F708, "mmmm")</f>
        <v>February</v>
      </c>
      <c r="D708" s="3">
        <f>MONTH(F708)</f>
        <v>2</v>
      </c>
      <c r="E708" s="3">
        <f>YEAR(F708)</f>
        <v>2023</v>
      </c>
      <c r="F708" s="2">
        <v>44963</v>
      </c>
      <c r="G708" s="3" t="s">
        <v>821</v>
      </c>
      <c r="H708" s="3" t="s">
        <v>18</v>
      </c>
      <c r="I708" s="3">
        <v>31</v>
      </c>
      <c r="J708" s="3"/>
      <c r="K708" s="3" t="s">
        <v>195</v>
      </c>
      <c r="L708" s="3">
        <v>3</v>
      </c>
      <c r="M708" s="4">
        <v>50</v>
      </c>
      <c r="N708">
        <f>L708 * M708</f>
        <v>150</v>
      </c>
      <c r="O708" s="15">
        <f>N708 *$R$3</f>
        <v>2.25</v>
      </c>
    </row>
    <row r="709" spans="1:15" ht="15.75">
      <c r="A709" s="3">
        <v>155</v>
      </c>
      <c r="B709">
        <f>DAY(F709)</f>
        <v>17</v>
      </c>
      <c r="C709" t="str">
        <f>TEXT(F709, "mmmm")</f>
        <v>May</v>
      </c>
      <c r="D709" s="3">
        <f>MONTH(F709)</f>
        <v>5</v>
      </c>
      <c r="E709" s="3">
        <f>YEAR(F709)</f>
        <v>2023</v>
      </c>
      <c r="F709" s="2">
        <v>45063</v>
      </c>
      <c r="G709" s="3" t="s">
        <v>822</v>
      </c>
      <c r="H709" s="3" t="s">
        <v>18</v>
      </c>
      <c r="I709" s="3">
        <v>31</v>
      </c>
      <c r="J709" s="3"/>
      <c r="K709" s="3" t="s">
        <v>196</v>
      </c>
      <c r="L709" s="3">
        <v>4</v>
      </c>
      <c r="M709" s="4">
        <v>500</v>
      </c>
      <c r="N709">
        <f>L709 * M709</f>
        <v>2000</v>
      </c>
      <c r="O709" s="15">
        <f>N709 *$R$3</f>
        <v>30</v>
      </c>
    </row>
    <row r="710" spans="1:15" ht="15.75">
      <c r="A710" s="3">
        <v>175</v>
      </c>
      <c r="B710">
        <f>DAY(F710)</f>
        <v>20</v>
      </c>
      <c r="C710" t="str">
        <f>TEXT(F710, "mmmm")</f>
        <v>March</v>
      </c>
      <c r="D710" s="3">
        <f>MONTH(F710)</f>
        <v>3</v>
      </c>
      <c r="E710" s="3">
        <f>YEAR(F710)</f>
        <v>2023</v>
      </c>
      <c r="F710" s="2">
        <v>45005</v>
      </c>
      <c r="G710" s="3" t="s">
        <v>823</v>
      </c>
      <c r="H710" s="3" t="s">
        <v>198</v>
      </c>
      <c r="I710" s="3">
        <v>31</v>
      </c>
      <c r="J710" s="3"/>
      <c r="K710" s="3" t="s">
        <v>196</v>
      </c>
      <c r="L710" s="3">
        <v>4</v>
      </c>
      <c r="M710" s="4">
        <v>25</v>
      </c>
      <c r="N710">
        <f>L710 * M710</f>
        <v>100</v>
      </c>
      <c r="O710" s="15">
        <f>N710 *$R$3</f>
        <v>1.5</v>
      </c>
    </row>
    <row r="711" spans="1:15" ht="15.75">
      <c r="A711" s="3">
        <v>179</v>
      </c>
      <c r="B711">
        <f>DAY(F711)</f>
        <v>29</v>
      </c>
      <c r="C711" t="str">
        <f>TEXT(F711, "mmmm")</f>
        <v>September</v>
      </c>
      <c r="D711" s="3">
        <f>MONTH(F711)</f>
        <v>9</v>
      </c>
      <c r="E711" s="3">
        <f>YEAR(F711)</f>
        <v>2023</v>
      </c>
      <c r="F711" s="2">
        <v>45198</v>
      </c>
      <c r="G711" s="3" t="s">
        <v>824</v>
      </c>
      <c r="H711" s="3" t="s">
        <v>18</v>
      </c>
      <c r="I711" s="3">
        <v>31</v>
      </c>
      <c r="J711" s="3"/>
      <c r="K711" s="3" t="s">
        <v>196</v>
      </c>
      <c r="L711" s="3">
        <v>1</v>
      </c>
      <c r="M711" s="4">
        <v>300</v>
      </c>
      <c r="N711">
        <f>L711 * M711</f>
        <v>300</v>
      </c>
      <c r="O711" s="15">
        <f>N711 *$R$3</f>
        <v>4.5</v>
      </c>
    </row>
    <row r="712" spans="1:15" ht="15.75">
      <c r="A712" s="3">
        <v>184</v>
      </c>
      <c r="B712">
        <f>DAY(F712)</f>
        <v>10</v>
      </c>
      <c r="C712" t="str">
        <f>TEXT(F712, "mmmm")</f>
        <v>January</v>
      </c>
      <c r="D712" s="3">
        <f>MONTH(F712)</f>
        <v>1</v>
      </c>
      <c r="E712" s="3">
        <f>YEAR(F712)</f>
        <v>2023</v>
      </c>
      <c r="F712" s="2">
        <v>44936</v>
      </c>
      <c r="G712" s="3" t="s">
        <v>825</v>
      </c>
      <c r="H712" s="3" t="s">
        <v>18</v>
      </c>
      <c r="I712" s="3">
        <v>31</v>
      </c>
      <c r="J712" s="3"/>
      <c r="K712" s="3" t="s">
        <v>196</v>
      </c>
      <c r="L712" s="3">
        <v>4</v>
      </c>
      <c r="M712" s="4">
        <v>50</v>
      </c>
      <c r="N712">
        <f>L712 * M712</f>
        <v>200</v>
      </c>
      <c r="O712" s="15">
        <f>N712 *$R$3</f>
        <v>3</v>
      </c>
    </row>
    <row r="713" spans="1:15" ht="15.75">
      <c r="A713" s="3">
        <v>285</v>
      </c>
      <c r="B713">
        <f>DAY(F713)</f>
        <v>15</v>
      </c>
      <c r="C713" t="str">
        <f>TEXT(F713, "mmmm")</f>
        <v>August</v>
      </c>
      <c r="D713" s="3">
        <f>MONTH(F713)</f>
        <v>8</v>
      </c>
      <c r="E713" s="3">
        <f>YEAR(F713)</f>
        <v>2023</v>
      </c>
      <c r="F713" s="2">
        <v>45153</v>
      </c>
      <c r="G713" s="3" t="s">
        <v>826</v>
      </c>
      <c r="H713" s="3" t="s">
        <v>198</v>
      </c>
      <c r="I713" s="3">
        <v>31</v>
      </c>
      <c r="J713" s="3"/>
      <c r="K713" s="3" t="s">
        <v>196</v>
      </c>
      <c r="L713" s="3">
        <v>1</v>
      </c>
      <c r="M713" s="4">
        <v>25</v>
      </c>
      <c r="N713">
        <f>L713 * M713</f>
        <v>25</v>
      </c>
      <c r="O713" s="15">
        <f>N713 *$R$3</f>
        <v>0.375</v>
      </c>
    </row>
    <row r="714" spans="1:15" ht="15.75">
      <c r="A714" s="3">
        <v>319</v>
      </c>
      <c r="B714">
        <f>DAY(F714)</f>
        <v>5</v>
      </c>
      <c r="C714" t="str">
        <f>TEXT(F714, "mmmm")</f>
        <v>October</v>
      </c>
      <c r="D714" s="3">
        <f>MONTH(F714)</f>
        <v>10</v>
      </c>
      <c r="E714" s="3">
        <f>YEAR(F714)</f>
        <v>2023</v>
      </c>
      <c r="F714" s="2">
        <v>45204</v>
      </c>
      <c r="G714" s="3" t="s">
        <v>827</v>
      </c>
      <c r="H714" s="3" t="s">
        <v>18</v>
      </c>
      <c r="I714" s="3">
        <v>31</v>
      </c>
      <c r="J714" s="3"/>
      <c r="K714" s="3" t="s">
        <v>195</v>
      </c>
      <c r="L714" s="3">
        <v>1</v>
      </c>
      <c r="M714" s="4">
        <v>500</v>
      </c>
      <c r="N714">
        <f>L714 * M714</f>
        <v>500</v>
      </c>
      <c r="O714" s="15">
        <f>N714 *$R$3</f>
        <v>7.5</v>
      </c>
    </row>
    <row r="715" spans="1:15" ht="15.75">
      <c r="A715" s="3">
        <v>334</v>
      </c>
      <c r="B715">
        <f>DAY(F715)</f>
        <v>1</v>
      </c>
      <c r="C715" t="str">
        <f>TEXT(F715, "mmmm")</f>
        <v>November</v>
      </c>
      <c r="D715" s="3">
        <f>MONTH(F715)</f>
        <v>11</v>
      </c>
      <c r="E715" s="3">
        <f>YEAR(F715)</f>
        <v>2023</v>
      </c>
      <c r="F715" s="2">
        <v>45231</v>
      </c>
      <c r="G715" s="3" t="s">
        <v>828</v>
      </c>
      <c r="H715" s="3" t="s">
        <v>18</v>
      </c>
      <c r="I715" s="3">
        <v>31</v>
      </c>
      <c r="J715" s="3"/>
      <c r="K715" s="3" t="s">
        <v>196</v>
      </c>
      <c r="L715" s="3">
        <v>3</v>
      </c>
      <c r="M715" s="4">
        <v>300</v>
      </c>
      <c r="N715">
        <f>L715 * M715</f>
        <v>900</v>
      </c>
      <c r="O715" s="15">
        <f>N715 *$R$3</f>
        <v>13.5</v>
      </c>
    </row>
    <row r="716" spans="1:15" ht="15.75">
      <c r="A716" s="3">
        <v>341</v>
      </c>
      <c r="B716">
        <f>DAY(F716)</f>
        <v>7</v>
      </c>
      <c r="C716" t="str">
        <f>TEXT(F716, "mmmm")</f>
        <v>May</v>
      </c>
      <c r="D716" s="3">
        <f>MONTH(F716)</f>
        <v>5</v>
      </c>
      <c r="E716" s="3">
        <f>YEAR(F716)</f>
        <v>2023</v>
      </c>
      <c r="F716" s="2">
        <v>45053</v>
      </c>
      <c r="G716" s="3" t="s">
        <v>829</v>
      </c>
      <c r="H716" s="3" t="s">
        <v>18</v>
      </c>
      <c r="I716" s="3">
        <v>31</v>
      </c>
      <c r="J716" s="3"/>
      <c r="K716" s="3" t="s">
        <v>195</v>
      </c>
      <c r="L716" s="3">
        <v>4</v>
      </c>
      <c r="M716" s="4">
        <v>50</v>
      </c>
      <c r="N716">
        <f>L716 * M716</f>
        <v>200</v>
      </c>
      <c r="O716" s="15">
        <f>N716 *$R$3</f>
        <v>3</v>
      </c>
    </row>
    <row r="717" spans="1:15" ht="15.75">
      <c r="A717" s="3">
        <v>353</v>
      </c>
      <c r="B717">
        <f>DAY(F717)</f>
        <v>14</v>
      </c>
      <c r="C717" t="str">
        <f>TEXT(F717, "mmmm")</f>
        <v>May</v>
      </c>
      <c r="D717" s="3">
        <f>MONTH(F717)</f>
        <v>5</v>
      </c>
      <c r="E717" s="3">
        <f>YEAR(F717)</f>
        <v>2023</v>
      </c>
      <c r="F717" s="2">
        <v>45060</v>
      </c>
      <c r="G717" s="3" t="s">
        <v>830</v>
      </c>
      <c r="H717" s="3" t="s">
        <v>18</v>
      </c>
      <c r="I717" s="3">
        <v>31</v>
      </c>
      <c r="J717" s="3"/>
      <c r="K717" s="3" t="s">
        <v>196</v>
      </c>
      <c r="L717" s="3">
        <v>1</v>
      </c>
      <c r="M717" s="4">
        <v>500</v>
      </c>
      <c r="N717">
        <f>L717 * M717</f>
        <v>500</v>
      </c>
      <c r="O717" s="15">
        <f>N717 *$R$3</f>
        <v>7.5</v>
      </c>
    </row>
    <row r="718" spans="1:15" ht="15.75">
      <c r="A718" s="3">
        <v>365</v>
      </c>
      <c r="B718">
        <f>DAY(F718)</f>
        <v>11</v>
      </c>
      <c r="C718" t="str">
        <f>TEXT(F718, "mmmm")</f>
        <v>June</v>
      </c>
      <c r="D718" s="3">
        <f>MONTH(F718)</f>
        <v>6</v>
      </c>
      <c r="E718" s="3">
        <f>YEAR(F718)</f>
        <v>2023</v>
      </c>
      <c r="F718" s="2">
        <v>45088</v>
      </c>
      <c r="G718" s="3" t="s">
        <v>831</v>
      </c>
      <c r="H718" s="3" t="s">
        <v>18</v>
      </c>
      <c r="I718" s="3">
        <v>31</v>
      </c>
      <c r="J718" s="3"/>
      <c r="K718" s="3" t="s">
        <v>195</v>
      </c>
      <c r="L718" s="3">
        <v>1</v>
      </c>
      <c r="M718" s="4">
        <v>300</v>
      </c>
      <c r="N718">
        <f>L718 * M718</f>
        <v>300</v>
      </c>
      <c r="O718" s="15">
        <f>N718 *$R$3</f>
        <v>4.5</v>
      </c>
    </row>
    <row r="719" spans="1:15" ht="15.75">
      <c r="A719" s="3">
        <v>455</v>
      </c>
      <c r="B719">
        <f>DAY(F719)</f>
        <v>1</v>
      </c>
      <c r="C719" t="str">
        <f>TEXT(F719, "mmmm")</f>
        <v>July</v>
      </c>
      <c r="D719" s="3">
        <f>MONTH(F719)</f>
        <v>7</v>
      </c>
      <c r="E719" s="3">
        <f>YEAR(F719)</f>
        <v>2023</v>
      </c>
      <c r="F719" s="2">
        <v>45108</v>
      </c>
      <c r="G719" s="3" t="s">
        <v>832</v>
      </c>
      <c r="H719" s="3" t="s">
        <v>18</v>
      </c>
      <c r="I719" s="3">
        <v>31</v>
      </c>
      <c r="J719" s="3"/>
      <c r="K719" s="3" t="s">
        <v>196</v>
      </c>
      <c r="L719" s="3">
        <v>4</v>
      </c>
      <c r="M719" s="4">
        <v>25</v>
      </c>
      <c r="N719">
        <f>L719 * M719</f>
        <v>100</v>
      </c>
      <c r="O719" s="15">
        <f>N719 *$R$3</f>
        <v>1.5</v>
      </c>
    </row>
    <row r="720" spans="1:15" ht="15.75">
      <c r="A720" s="3">
        <v>531</v>
      </c>
      <c r="B720">
        <f>DAY(F720)</f>
        <v>7</v>
      </c>
      <c r="C720" t="str">
        <f>TEXT(F720, "mmmm")</f>
        <v>December</v>
      </c>
      <c r="D720" s="3">
        <f>MONTH(F720)</f>
        <v>12</v>
      </c>
      <c r="E720" s="3">
        <f>YEAR(F720)</f>
        <v>2023</v>
      </c>
      <c r="F720" s="2">
        <v>45267</v>
      </c>
      <c r="G720" s="3" t="s">
        <v>833</v>
      </c>
      <c r="H720" s="3" t="s">
        <v>18</v>
      </c>
      <c r="I720" s="3">
        <v>31</v>
      </c>
      <c r="J720" s="3"/>
      <c r="K720" s="3" t="s">
        <v>196</v>
      </c>
      <c r="L720" s="3">
        <v>1</v>
      </c>
      <c r="M720" s="4">
        <v>500</v>
      </c>
      <c r="N720">
        <f>L720 * M720</f>
        <v>500</v>
      </c>
      <c r="O720" s="15">
        <f>N720 *$R$3</f>
        <v>7.5</v>
      </c>
    </row>
    <row r="721" spans="1:15" ht="15.75">
      <c r="A721" s="3">
        <v>572</v>
      </c>
      <c r="B721">
        <f>DAY(F721)</f>
        <v>20</v>
      </c>
      <c r="C721" t="str">
        <f>TEXT(F721, "mmmm")</f>
        <v>April</v>
      </c>
      <c r="D721" s="3">
        <f>MONTH(F721)</f>
        <v>4</v>
      </c>
      <c r="E721" s="3">
        <f>YEAR(F721)</f>
        <v>2023</v>
      </c>
      <c r="F721" s="2">
        <v>45036</v>
      </c>
      <c r="G721" s="3" t="s">
        <v>834</v>
      </c>
      <c r="H721" s="3" t="s">
        <v>18</v>
      </c>
      <c r="I721" s="3">
        <v>31</v>
      </c>
      <c r="J721" s="3"/>
      <c r="K721" s="3" t="s">
        <v>195</v>
      </c>
      <c r="L721" s="3">
        <v>4</v>
      </c>
      <c r="M721" s="4">
        <v>500</v>
      </c>
      <c r="N721">
        <f>L721 * M721</f>
        <v>2000</v>
      </c>
      <c r="O721" s="15">
        <f>N721 *$R$3</f>
        <v>30</v>
      </c>
    </row>
    <row r="722" spans="1:15" ht="15.75">
      <c r="A722" s="3">
        <v>580</v>
      </c>
      <c r="B722">
        <f>DAY(F722)</f>
        <v>6</v>
      </c>
      <c r="C722" t="str">
        <f>TEXT(F722, "mmmm")</f>
        <v>December</v>
      </c>
      <c r="D722" s="3">
        <f>MONTH(F722)</f>
        <v>12</v>
      </c>
      <c r="E722" s="3">
        <f>YEAR(F722)</f>
        <v>2023</v>
      </c>
      <c r="F722" s="2">
        <v>45266</v>
      </c>
      <c r="G722" s="3" t="s">
        <v>835</v>
      </c>
      <c r="H722" s="3" t="s">
        <v>198</v>
      </c>
      <c r="I722" s="3">
        <v>31</v>
      </c>
      <c r="J722" s="3"/>
      <c r="K722" s="3" t="s">
        <v>195</v>
      </c>
      <c r="L722" s="3">
        <v>3</v>
      </c>
      <c r="M722" s="4">
        <v>500</v>
      </c>
      <c r="N722">
        <f>L722 * M722</f>
        <v>1500</v>
      </c>
      <c r="O722" s="15">
        <f>N722 *$R$3</f>
        <v>22.5</v>
      </c>
    </row>
    <row r="723" spans="1:15" ht="15.75">
      <c r="A723" s="3">
        <v>625</v>
      </c>
      <c r="B723">
        <f>DAY(F723)</f>
        <v>8</v>
      </c>
      <c r="C723" t="str">
        <f>TEXT(F723, "mmmm")</f>
        <v>December</v>
      </c>
      <c r="D723" s="3">
        <f>MONTH(F723)</f>
        <v>12</v>
      </c>
      <c r="E723" s="3">
        <f>YEAR(F723)</f>
        <v>2023</v>
      </c>
      <c r="F723" s="2">
        <v>45268</v>
      </c>
      <c r="G723" s="3" t="s">
        <v>836</v>
      </c>
      <c r="H723" s="3" t="s">
        <v>18</v>
      </c>
      <c r="I723" s="3">
        <v>31</v>
      </c>
      <c r="J723" s="3"/>
      <c r="K723" s="3" t="s">
        <v>195</v>
      </c>
      <c r="L723" s="3">
        <v>1</v>
      </c>
      <c r="M723" s="4">
        <v>300</v>
      </c>
      <c r="N723">
        <f>L723 * M723</f>
        <v>300</v>
      </c>
      <c r="O723" s="15">
        <f>N723 *$R$3</f>
        <v>4.5</v>
      </c>
    </row>
    <row r="724" spans="1:15" ht="15.75">
      <c r="A724" s="3">
        <v>769</v>
      </c>
      <c r="B724">
        <f>DAY(F724)</f>
        <v>9</v>
      </c>
      <c r="C724" t="str">
        <f>TEXT(F724, "mmmm")</f>
        <v>June</v>
      </c>
      <c r="D724" s="3">
        <f>MONTH(F724)</f>
        <v>6</v>
      </c>
      <c r="E724" s="3">
        <f>YEAR(F724)</f>
        <v>2023</v>
      </c>
      <c r="F724" s="2">
        <v>45086</v>
      </c>
      <c r="G724" s="3" t="s">
        <v>837</v>
      </c>
      <c r="H724" s="3" t="s">
        <v>198</v>
      </c>
      <c r="I724" s="3">
        <v>31</v>
      </c>
      <c r="J724" s="3"/>
      <c r="K724" s="3" t="s">
        <v>196</v>
      </c>
      <c r="L724" s="3">
        <v>4</v>
      </c>
      <c r="M724" s="4">
        <v>30</v>
      </c>
      <c r="N724">
        <f>L724 * M724</f>
        <v>120</v>
      </c>
      <c r="O724" s="15">
        <f>N724 *$R$3</f>
        <v>1.7999999999999998</v>
      </c>
    </row>
    <row r="725" spans="1:15" ht="15.75">
      <c r="A725" s="3">
        <v>785</v>
      </c>
      <c r="B725">
        <f>DAY(F725)</f>
        <v>3</v>
      </c>
      <c r="C725" t="str">
        <f>TEXT(F725, "mmmm")</f>
        <v>March</v>
      </c>
      <c r="D725" s="3">
        <f>MONTH(F725)</f>
        <v>3</v>
      </c>
      <c r="E725" s="3">
        <f>YEAR(F725)</f>
        <v>2023</v>
      </c>
      <c r="F725" s="2">
        <v>44988</v>
      </c>
      <c r="G725" s="3" t="s">
        <v>838</v>
      </c>
      <c r="H725" s="3" t="s">
        <v>198</v>
      </c>
      <c r="I725" s="3">
        <v>31</v>
      </c>
      <c r="J725" s="3"/>
      <c r="K725" s="3" t="s">
        <v>19</v>
      </c>
      <c r="L725" s="3">
        <v>4</v>
      </c>
      <c r="M725" s="4">
        <v>50</v>
      </c>
      <c r="N725">
        <f>L725 * M725</f>
        <v>200</v>
      </c>
      <c r="O725" s="15">
        <f>N725 *$R$3</f>
        <v>3</v>
      </c>
    </row>
    <row r="726" spans="1:15" ht="15.75">
      <c r="A726" s="3">
        <v>841</v>
      </c>
      <c r="B726">
        <f>DAY(F726)</f>
        <v>2</v>
      </c>
      <c r="C726" t="str">
        <f>TEXT(F726, "mmmm")</f>
        <v>November</v>
      </c>
      <c r="D726" s="3">
        <f>MONTH(F726)</f>
        <v>11</v>
      </c>
      <c r="E726" s="3">
        <f>YEAR(F726)</f>
        <v>2023</v>
      </c>
      <c r="F726" s="2">
        <v>45232</v>
      </c>
      <c r="G726" s="3" t="s">
        <v>839</v>
      </c>
      <c r="H726" s="3" t="s">
        <v>18</v>
      </c>
      <c r="I726" s="3">
        <v>31</v>
      </c>
      <c r="J726" s="3"/>
      <c r="K726" s="3" t="s">
        <v>196</v>
      </c>
      <c r="L726" s="3">
        <v>4</v>
      </c>
      <c r="M726" s="4">
        <v>25</v>
      </c>
      <c r="N726">
        <f>L726 * M726</f>
        <v>100</v>
      </c>
      <c r="O726" s="15">
        <f>N726 *$R$3</f>
        <v>1.5</v>
      </c>
    </row>
    <row r="727" spans="1:15" ht="15.75">
      <c r="A727" s="3">
        <v>901</v>
      </c>
      <c r="B727">
        <f>DAY(F727)</f>
        <v>10</v>
      </c>
      <c r="C727" t="str">
        <f>TEXT(F727, "mmmm")</f>
        <v>April</v>
      </c>
      <c r="D727" s="3">
        <f>MONTH(F727)</f>
        <v>4</v>
      </c>
      <c r="E727" s="3">
        <f>YEAR(F727)</f>
        <v>2023</v>
      </c>
      <c r="F727" s="2">
        <v>45026</v>
      </c>
      <c r="G727" s="3" t="s">
        <v>840</v>
      </c>
      <c r="H727" s="3" t="s">
        <v>18</v>
      </c>
      <c r="I727" s="3">
        <v>31</v>
      </c>
      <c r="J727" s="3"/>
      <c r="K727" s="3" t="s">
        <v>196</v>
      </c>
      <c r="L727" s="3">
        <v>1</v>
      </c>
      <c r="M727" s="4">
        <v>30</v>
      </c>
      <c r="N727">
        <f>L727 * M727</f>
        <v>30</v>
      </c>
      <c r="O727" s="15">
        <f>N727 *$R$3</f>
        <v>0.44999999999999996</v>
      </c>
    </row>
    <row r="728" spans="1:15" ht="15.75">
      <c r="A728" s="3">
        <v>980</v>
      </c>
      <c r="B728">
        <f>DAY(F728)</f>
        <v>29</v>
      </c>
      <c r="C728" t="str">
        <f>TEXT(F728, "mmmm")</f>
        <v>July</v>
      </c>
      <c r="D728" s="3">
        <f>MONTH(F728)</f>
        <v>7</v>
      </c>
      <c r="E728" s="3">
        <f>YEAR(F728)</f>
        <v>2023</v>
      </c>
      <c r="F728" s="2">
        <v>45136</v>
      </c>
      <c r="G728" s="3" t="s">
        <v>841</v>
      </c>
      <c r="H728" s="3" t="s">
        <v>198</v>
      </c>
      <c r="I728" s="3">
        <v>31</v>
      </c>
      <c r="J728" s="3"/>
      <c r="K728" s="3" t="s">
        <v>196</v>
      </c>
      <c r="L728" s="3">
        <v>3</v>
      </c>
      <c r="M728" s="4">
        <v>25</v>
      </c>
      <c r="N728">
        <f>L728 * M728</f>
        <v>75</v>
      </c>
      <c r="O728" s="15">
        <f>N728 *$R$3</f>
        <v>1.125</v>
      </c>
    </row>
    <row r="729" spans="1:15" ht="15.75">
      <c r="A729" s="3">
        <v>5</v>
      </c>
      <c r="B729">
        <f>DAY(F729)</f>
        <v>6</v>
      </c>
      <c r="C729" t="str">
        <f>TEXT(F729, "mmmm")</f>
        <v>May</v>
      </c>
      <c r="D729" s="3">
        <f>MONTH(F729)</f>
        <v>5</v>
      </c>
      <c r="E729" s="3">
        <f>YEAR(F729)</f>
        <v>2023</v>
      </c>
      <c r="F729" s="2">
        <v>45052</v>
      </c>
      <c r="G729" s="3" t="s">
        <v>82</v>
      </c>
      <c r="H729" s="3" t="s">
        <v>18</v>
      </c>
      <c r="I729" s="3">
        <v>30</v>
      </c>
      <c r="J729" s="3"/>
      <c r="K729" s="3" t="s">
        <v>19</v>
      </c>
      <c r="L729" s="3">
        <v>2</v>
      </c>
      <c r="M729" s="4">
        <v>50</v>
      </c>
      <c r="N729">
        <f>L729 * M729</f>
        <v>100</v>
      </c>
      <c r="O729" s="15">
        <f>N729 *$R$3</f>
        <v>1.5</v>
      </c>
    </row>
    <row r="730" spans="1:15" ht="15.75">
      <c r="A730" s="3">
        <v>8</v>
      </c>
      <c r="B730">
        <f>DAY(F730)</f>
        <v>22</v>
      </c>
      <c r="C730" t="str">
        <f>TEXT(F730, "mmmm")</f>
        <v>February</v>
      </c>
      <c r="D730" s="3">
        <f>MONTH(F730)</f>
        <v>2</v>
      </c>
      <c r="E730" s="3">
        <f>YEAR(F730)</f>
        <v>2023</v>
      </c>
      <c r="F730" s="2">
        <v>44979</v>
      </c>
      <c r="G730" s="3" t="s">
        <v>842</v>
      </c>
      <c r="H730" s="3" t="s">
        <v>18</v>
      </c>
      <c r="I730" s="3">
        <v>30</v>
      </c>
      <c r="J730" s="3"/>
      <c r="K730" s="3" t="s">
        <v>196</v>
      </c>
      <c r="L730" s="3">
        <v>4</v>
      </c>
      <c r="M730" s="4">
        <v>25</v>
      </c>
      <c r="N730">
        <f>L730 * M730</f>
        <v>100</v>
      </c>
      <c r="O730" s="15">
        <f>N730 *$R$3</f>
        <v>1.5</v>
      </c>
    </row>
    <row r="731" spans="1:15" ht="15.75">
      <c r="A731" s="3">
        <v>32</v>
      </c>
      <c r="B731">
        <f>DAY(F731)</f>
        <v>4</v>
      </c>
      <c r="C731" t="str">
        <f>TEXT(F731, "mmmm")</f>
        <v>January</v>
      </c>
      <c r="D731" s="3">
        <f>MONTH(F731)</f>
        <v>1</v>
      </c>
      <c r="E731" s="3">
        <f>YEAR(F731)</f>
        <v>2023</v>
      </c>
      <c r="F731" s="2">
        <v>44930</v>
      </c>
      <c r="G731" s="3" t="s">
        <v>74</v>
      </c>
      <c r="H731" s="3" t="s">
        <v>18</v>
      </c>
      <c r="I731" s="3">
        <v>30</v>
      </c>
      <c r="J731" s="3"/>
      <c r="K731" s="3" t="s">
        <v>19</v>
      </c>
      <c r="L731" s="3">
        <v>3</v>
      </c>
      <c r="M731" s="4">
        <v>30</v>
      </c>
      <c r="N731">
        <f>L731 * M731</f>
        <v>90</v>
      </c>
      <c r="O731" s="15">
        <f>N731 *$R$3</f>
        <v>1.3499999999999999</v>
      </c>
    </row>
    <row r="732" spans="1:15" ht="15.75">
      <c r="A732" s="3">
        <v>60</v>
      </c>
      <c r="B732">
        <f>DAY(F732)</f>
        <v>23</v>
      </c>
      <c r="C732" t="str">
        <f>TEXT(F732, "mmmm")</f>
        <v>October</v>
      </c>
      <c r="D732" s="3">
        <f>MONTH(F732)</f>
        <v>10</v>
      </c>
      <c r="E732" s="3">
        <f>YEAR(F732)</f>
        <v>2023</v>
      </c>
      <c r="F732" s="2">
        <v>45222</v>
      </c>
      <c r="G732" s="3" t="s">
        <v>105</v>
      </c>
      <c r="H732" s="3" t="s">
        <v>18</v>
      </c>
      <c r="I732" s="3">
        <v>30</v>
      </c>
      <c r="J732" s="3"/>
      <c r="K732" s="3" t="s">
        <v>19</v>
      </c>
      <c r="L732" s="3">
        <v>3</v>
      </c>
      <c r="M732" s="4">
        <v>50</v>
      </c>
      <c r="N732">
        <f>L732 * M732</f>
        <v>150</v>
      </c>
      <c r="O732" s="15">
        <f>N732 *$R$3</f>
        <v>2.25</v>
      </c>
    </row>
    <row r="733" spans="1:15" ht="15.75">
      <c r="A733" s="3">
        <v>118</v>
      </c>
      <c r="B733">
        <f>DAY(F733)</f>
        <v>16</v>
      </c>
      <c r="C733" t="str">
        <f>TEXT(F733, "mmmm")</f>
        <v>May</v>
      </c>
      <c r="D733" s="3">
        <f>MONTH(F733)</f>
        <v>5</v>
      </c>
      <c r="E733" s="3">
        <f>YEAR(F733)</f>
        <v>2023</v>
      </c>
      <c r="F733" s="2">
        <v>45062</v>
      </c>
      <c r="G733" s="3" t="s">
        <v>843</v>
      </c>
      <c r="H733" s="3" t="s">
        <v>198</v>
      </c>
      <c r="I733" s="3">
        <v>30</v>
      </c>
      <c r="J733" s="3"/>
      <c r="K733" s="3" t="s">
        <v>196</v>
      </c>
      <c r="L733" s="3">
        <v>4</v>
      </c>
      <c r="M733" s="4">
        <v>500</v>
      </c>
      <c r="N733">
        <f>L733 * M733</f>
        <v>2000</v>
      </c>
      <c r="O733" s="15">
        <f>N733 *$R$3</f>
        <v>30</v>
      </c>
    </row>
    <row r="734" spans="1:15" ht="15.75">
      <c r="A734" s="3">
        <v>209</v>
      </c>
      <c r="B734">
        <f>DAY(F734)</f>
        <v>20</v>
      </c>
      <c r="C734" t="str">
        <f>TEXT(F734, "mmmm")</f>
        <v>December</v>
      </c>
      <c r="D734" s="3">
        <f>MONTH(F734)</f>
        <v>12</v>
      </c>
      <c r="E734" s="3">
        <f>YEAR(F734)</f>
        <v>2023</v>
      </c>
      <c r="F734" s="2">
        <v>45280</v>
      </c>
      <c r="G734" s="3" t="s">
        <v>844</v>
      </c>
      <c r="H734" s="3" t="s">
        <v>198</v>
      </c>
      <c r="I734" s="3">
        <v>30</v>
      </c>
      <c r="J734" s="3"/>
      <c r="K734" s="3" t="s">
        <v>196</v>
      </c>
      <c r="L734" s="3">
        <v>4</v>
      </c>
      <c r="M734" s="4">
        <v>50</v>
      </c>
      <c r="N734">
        <f>L734 * M734</f>
        <v>200</v>
      </c>
      <c r="O734" s="15">
        <f>N734 *$R$3</f>
        <v>3</v>
      </c>
    </row>
    <row r="735" spans="1:15" ht="15.75">
      <c r="A735" s="3">
        <v>290</v>
      </c>
      <c r="B735">
        <f>DAY(F735)</f>
        <v>4</v>
      </c>
      <c r="C735" t="str">
        <f>TEXT(F735, "mmmm")</f>
        <v>October</v>
      </c>
      <c r="D735" s="3">
        <f>MONTH(F735)</f>
        <v>10</v>
      </c>
      <c r="E735" s="3">
        <f>YEAR(F735)</f>
        <v>2023</v>
      </c>
      <c r="F735" s="2">
        <v>45203</v>
      </c>
      <c r="G735" s="3" t="s">
        <v>845</v>
      </c>
      <c r="H735" s="3" t="s">
        <v>198</v>
      </c>
      <c r="I735" s="3">
        <v>30</v>
      </c>
      <c r="J735" s="3"/>
      <c r="K735" s="3" t="s">
        <v>19</v>
      </c>
      <c r="L735" s="3">
        <v>2</v>
      </c>
      <c r="M735" s="4">
        <v>300</v>
      </c>
      <c r="N735">
        <f>L735 * M735</f>
        <v>600</v>
      </c>
      <c r="O735" s="15">
        <f>N735 *$R$3</f>
        <v>9</v>
      </c>
    </row>
    <row r="736" spans="1:15" ht="15.75">
      <c r="A736" s="3">
        <v>301</v>
      </c>
      <c r="B736">
        <f>DAY(F736)</f>
        <v>26</v>
      </c>
      <c r="C736" t="str">
        <f>TEXT(F736, "mmmm")</f>
        <v>March</v>
      </c>
      <c r="D736" s="3">
        <f>MONTH(F736)</f>
        <v>3</v>
      </c>
      <c r="E736" s="3">
        <f>YEAR(F736)</f>
        <v>2023</v>
      </c>
      <c r="F736" s="2">
        <v>45011</v>
      </c>
      <c r="G736" s="3" t="s">
        <v>846</v>
      </c>
      <c r="H736" s="3" t="s">
        <v>18</v>
      </c>
      <c r="I736" s="3">
        <v>30</v>
      </c>
      <c r="J736" s="3"/>
      <c r="K736" s="3" t="s">
        <v>195</v>
      </c>
      <c r="L736" s="3">
        <v>4</v>
      </c>
      <c r="M736" s="4">
        <v>30</v>
      </c>
      <c r="N736">
        <f>L736 * M736</f>
        <v>120</v>
      </c>
      <c r="O736" s="15">
        <f>N736 *$R$3</f>
        <v>1.7999999999999998</v>
      </c>
    </row>
    <row r="737" spans="1:15" ht="15.75">
      <c r="A737" s="3">
        <v>397</v>
      </c>
      <c r="B737">
        <f>DAY(F737)</f>
        <v>10</v>
      </c>
      <c r="C737" t="str">
        <f>TEXT(F737, "mmmm")</f>
        <v>March</v>
      </c>
      <c r="D737" s="3">
        <f>MONTH(F737)</f>
        <v>3</v>
      </c>
      <c r="E737" s="3">
        <f>YEAR(F737)</f>
        <v>2023</v>
      </c>
      <c r="F737" s="2">
        <v>44995</v>
      </c>
      <c r="G737" s="3" t="s">
        <v>847</v>
      </c>
      <c r="H737" s="3" t="s">
        <v>198</v>
      </c>
      <c r="I737" s="3">
        <v>30</v>
      </c>
      <c r="J737" s="3"/>
      <c r="K737" s="3" t="s">
        <v>19</v>
      </c>
      <c r="L737" s="3">
        <v>1</v>
      </c>
      <c r="M737" s="4">
        <v>25</v>
      </c>
      <c r="N737">
        <f>L737 * M737</f>
        <v>25</v>
      </c>
      <c r="O737" s="15">
        <f>N737 *$R$3</f>
        <v>0.375</v>
      </c>
    </row>
    <row r="738" spans="1:15" ht="15.75">
      <c r="A738" s="3">
        <v>435</v>
      </c>
      <c r="B738">
        <f>DAY(F738)</f>
        <v>20</v>
      </c>
      <c r="C738" t="str">
        <f>TEXT(F738, "mmmm")</f>
        <v>December</v>
      </c>
      <c r="D738" s="3">
        <f>MONTH(F738)</f>
        <v>12</v>
      </c>
      <c r="E738" s="3">
        <f>YEAR(F738)</f>
        <v>2023</v>
      </c>
      <c r="F738" s="2">
        <v>45280</v>
      </c>
      <c r="G738" s="3" t="s">
        <v>848</v>
      </c>
      <c r="H738" s="3" t="s">
        <v>198</v>
      </c>
      <c r="I738" s="3">
        <v>30</v>
      </c>
      <c r="J738" s="3"/>
      <c r="K738" s="3" t="s">
        <v>19</v>
      </c>
      <c r="L738" s="3">
        <v>3</v>
      </c>
      <c r="M738" s="4">
        <v>300</v>
      </c>
      <c r="N738">
        <f>L738 * M738</f>
        <v>900</v>
      </c>
      <c r="O738" s="15">
        <f>N738 *$R$3</f>
        <v>13.5</v>
      </c>
    </row>
    <row r="739" spans="1:15" ht="15.75">
      <c r="A739" s="3">
        <v>516</v>
      </c>
      <c r="B739">
        <f>DAY(F739)</f>
        <v>23</v>
      </c>
      <c r="C739" t="str">
        <f>TEXT(F739, "mmmm")</f>
        <v>October</v>
      </c>
      <c r="D739" s="3">
        <f>MONTH(F739)</f>
        <v>10</v>
      </c>
      <c r="E739" s="3">
        <f>YEAR(F739)</f>
        <v>2023</v>
      </c>
      <c r="F739" s="2">
        <v>45222</v>
      </c>
      <c r="G739" s="3" t="s">
        <v>87</v>
      </c>
      <c r="H739" s="3" t="s">
        <v>18</v>
      </c>
      <c r="I739" s="3">
        <v>30</v>
      </c>
      <c r="J739" s="3"/>
      <c r="K739" s="3" t="s">
        <v>19</v>
      </c>
      <c r="L739" s="3">
        <v>4</v>
      </c>
      <c r="M739" s="4">
        <v>25</v>
      </c>
      <c r="N739">
        <f>L739 * M739</f>
        <v>100</v>
      </c>
      <c r="O739" s="15">
        <f>N739 *$R$3</f>
        <v>1.5</v>
      </c>
    </row>
    <row r="740" spans="1:15" ht="15.75">
      <c r="A740" s="3">
        <v>805</v>
      </c>
      <c r="B740">
        <f>DAY(F740)</f>
        <v>29</v>
      </c>
      <c r="C740" t="str">
        <f>TEXT(F740, "mmmm")</f>
        <v>December</v>
      </c>
      <c r="D740" s="3">
        <f>MONTH(F740)</f>
        <v>12</v>
      </c>
      <c r="E740" s="3">
        <f>YEAR(F740)</f>
        <v>2023</v>
      </c>
      <c r="F740" s="2">
        <v>45289</v>
      </c>
      <c r="G740" s="3" t="s">
        <v>849</v>
      </c>
      <c r="H740" s="3" t="s">
        <v>198</v>
      </c>
      <c r="I740" s="3">
        <v>30</v>
      </c>
      <c r="J740" s="3"/>
      <c r="K740" s="3" t="s">
        <v>19</v>
      </c>
      <c r="L740" s="3">
        <v>3</v>
      </c>
      <c r="M740" s="4">
        <v>500</v>
      </c>
      <c r="N740">
        <f>L740 * M740</f>
        <v>1500</v>
      </c>
      <c r="O740" s="15">
        <f>N740 *$R$3</f>
        <v>22.5</v>
      </c>
    </row>
    <row r="741" spans="1:15" ht="15.75">
      <c r="A741" s="3">
        <v>817</v>
      </c>
      <c r="B741">
        <f>DAY(F741)</f>
        <v>31</v>
      </c>
      <c r="C741" t="str">
        <f>TEXT(F741, "mmmm")</f>
        <v>October</v>
      </c>
      <c r="D741" s="3">
        <f>MONTH(F741)</f>
        <v>10</v>
      </c>
      <c r="E741" s="3">
        <f>YEAR(F741)</f>
        <v>2023</v>
      </c>
      <c r="F741" s="2">
        <v>45230</v>
      </c>
      <c r="G741" s="3" t="s">
        <v>110</v>
      </c>
      <c r="H741" s="3" t="s">
        <v>18</v>
      </c>
      <c r="I741" s="3">
        <v>30</v>
      </c>
      <c r="J741" s="3"/>
      <c r="K741" s="3" t="s">
        <v>19</v>
      </c>
      <c r="L741" s="3">
        <v>4</v>
      </c>
      <c r="M741" s="4">
        <v>50</v>
      </c>
      <c r="N741">
        <f>L741 * M741</f>
        <v>200</v>
      </c>
      <c r="O741" s="15">
        <f>N741 *$R$3</f>
        <v>3</v>
      </c>
    </row>
    <row r="742" spans="1:15" ht="15.75">
      <c r="A742" s="3">
        <v>818</v>
      </c>
      <c r="B742">
        <f>DAY(F742)</f>
        <v>18</v>
      </c>
      <c r="C742" t="str">
        <f>TEXT(F742, "mmmm")</f>
        <v>May</v>
      </c>
      <c r="D742" s="3">
        <f>MONTH(F742)</f>
        <v>5</v>
      </c>
      <c r="E742" s="3">
        <f>YEAR(F742)</f>
        <v>2023</v>
      </c>
      <c r="F742" s="2">
        <v>45064</v>
      </c>
      <c r="G742" s="3" t="s">
        <v>850</v>
      </c>
      <c r="H742" s="3" t="s">
        <v>18</v>
      </c>
      <c r="I742" s="3">
        <v>30</v>
      </c>
      <c r="J742" s="3"/>
      <c r="K742" s="3" t="s">
        <v>196</v>
      </c>
      <c r="L742" s="3">
        <v>1</v>
      </c>
      <c r="M742" s="4">
        <v>500</v>
      </c>
      <c r="N742">
        <f>L742 * M742</f>
        <v>500</v>
      </c>
      <c r="O742" s="15">
        <f>N742 *$R$3</f>
        <v>7.5</v>
      </c>
    </row>
    <row r="743" spans="1:15" ht="15.75">
      <c r="A743" s="3">
        <v>863</v>
      </c>
      <c r="B743">
        <f>DAY(F743)</f>
        <v>24</v>
      </c>
      <c r="C743" t="str">
        <f>TEXT(F743, "mmmm")</f>
        <v>April</v>
      </c>
      <c r="D743" s="3">
        <f>MONTH(F743)</f>
        <v>4</v>
      </c>
      <c r="E743" s="3">
        <f>YEAR(F743)</f>
        <v>2023</v>
      </c>
      <c r="F743" s="2">
        <v>45040</v>
      </c>
      <c r="G743" s="3" t="s">
        <v>851</v>
      </c>
      <c r="H743" s="3" t="s">
        <v>198</v>
      </c>
      <c r="I743" s="3">
        <v>30</v>
      </c>
      <c r="J743" s="3"/>
      <c r="K743" s="3" t="s">
        <v>196</v>
      </c>
      <c r="L743" s="3">
        <v>2</v>
      </c>
      <c r="M743" s="4">
        <v>25</v>
      </c>
      <c r="N743">
        <f>L743 * M743</f>
        <v>50</v>
      </c>
      <c r="O743" s="15">
        <f>N743 *$R$3</f>
        <v>0.75</v>
      </c>
    </row>
    <row r="744" spans="1:15" ht="15.75">
      <c r="A744" s="3">
        <v>896</v>
      </c>
      <c r="B744">
        <f>DAY(F744)</f>
        <v>29</v>
      </c>
      <c r="C744" t="str">
        <f>TEXT(F744, "mmmm")</f>
        <v>October</v>
      </c>
      <c r="D744" s="3">
        <f>MONTH(F744)</f>
        <v>10</v>
      </c>
      <c r="E744" s="3">
        <f>YEAR(F744)</f>
        <v>2023</v>
      </c>
      <c r="F744" s="2">
        <v>45228</v>
      </c>
      <c r="G744" s="3" t="s">
        <v>852</v>
      </c>
      <c r="H744" s="3" t="s">
        <v>198</v>
      </c>
      <c r="I744" s="3">
        <v>30</v>
      </c>
      <c r="J744" s="3"/>
      <c r="K744" s="3" t="s">
        <v>196</v>
      </c>
      <c r="L744" s="3">
        <v>2</v>
      </c>
      <c r="M744" s="4">
        <v>25</v>
      </c>
      <c r="N744">
        <f>L744 * M744</f>
        <v>50</v>
      </c>
      <c r="O744" s="15">
        <f>N744 *$R$3</f>
        <v>0.75</v>
      </c>
    </row>
    <row r="745" spans="1:15" ht="15.75">
      <c r="A745" s="3">
        <v>931</v>
      </c>
      <c r="B745">
        <f>DAY(F745)</f>
        <v>2</v>
      </c>
      <c r="C745" t="str">
        <f>TEXT(F745, "mmmm")</f>
        <v>September</v>
      </c>
      <c r="D745" s="3">
        <f>MONTH(F745)</f>
        <v>9</v>
      </c>
      <c r="E745" s="3">
        <f>YEAR(F745)</f>
        <v>2023</v>
      </c>
      <c r="F745" s="2">
        <v>45171</v>
      </c>
      <c r="G745" s="3" t="s">
        <v>97</v>
      </c>
      <c r="H745" s="3" t="s">
        <v>18</v>
      </c>
      <c r="I745" s="3">
        <v>30</v>
      </c>
      <c r="J745" s="3"/>
      <c r="K745" s="3" t="s">
        <v>19</v>
      </c>
      <c r="L745" s="3">
        <v>4</v>
      </c>
      <c r="M745" s="4">
        <v>30</v>
      </c>
      <c r="N745">
        <f>L745 * M745</f>
        <v>120</v>
      </c>
      <c r="O745" s="15">
        <f>N745 *$R$3</f>
        <v>1.7999999999999998</v>
      </c>
    </row>
    <row r="746" spans="1:15" ht="15.75">
      <c r="A746" s="3">
        <v>934</v>
      </c>
      <c r="B746">
        <f>DAY(F746)</f>
        <v>25</v>
      </c>
      <c r="C746" t="str">
        <f>TEXT(F746, "mmmm")</f>
        <v>July</v>
      </c>
      <c r="D746" s="3">
        <f>MONTH(F746)</f>
        <v>7</v>
      </c>
      <c r="E746" s="3">
        <f>YEAR(F746)</f>
        <v>2023</v>
      </c>
      <c r="F746" s="2">
        <v>45132</v>
      </c>
      <c r="G746" s="3" t="s">
        <v>120</v>
      </c>
      <c r="H746" s="3" t="s">
        <v>18</v>
      </c>
      <c r="I746" s="3">
        <v>30</v>
      </c>
      <c r="J746" s="3"/>
      <c r="K746" s="3" t="s">
        <v>19</v>
      </c>
      <c r="L746" s="3">
        <v>1</v>
      </c>
      <c r="M746" s="4">
        <v>500</v>
      </c>
      <c r="N746">
        <f>L746 * M746</f>
        <v>500</v>
      </c>
      <c r="O746" s="15">
        <f>N746 *$R$3</f>
        <v>7.5</v>
      </c>
    </row>
    <row r="747" spans="1:15" ht="15.75">
      <c r="A747" s="3">
        <v>945</v>
      </c>
      <c r="B747">
        <f>DAY(F747)</f>
        <v>13</v>
      </c>
      <c r="C747" t="str">
        <f>TEXT(F747, "mmmm")</f>
        <v>February</v>
      </c>
      <c r="D747" s="3">
        <f>MONTH(F747)</f>
        <v>2</v>
      </c>
      <c r="E747" s="3">
        <f>YEAR(F747)</f>
        <v>2023</v>
      </c>
      <c r="F747" s="2">
        <v>44970</v>
      </c>
      <c r="G747" s="3" t="s">
        <v>21</v>
      </c>
      <c r="H747" s="3" t="s">
        <v>18</v>
      </c>
      <c r="I747" s="3">
        <v>30</v>
      </c>
      <c r="J747" s="3"/>
      <c r="K747" s="3" t="s">
        <v>19</v>
      </c>
      <c r="L747" s="3">
        <v>1</v>
      </c>
      <c r="M747" s="4">
        <v>25</v>
      </c>
      <c r="N747">
        <f>L747 * M747</f>
        <v>25</v>
      </c>
      <c r="O747" s="15">
        <f>N747 *$R$3</f>
        <v>0.375</v>
      </c>
    </row>
    <row r="748" spans="1:15" ht="15.75">
      <c r="A748" s="3">
        <v>956</v>
      </c>
      <c r="B748">
        <f>DAY(F748)</f>
        <v>19</v>
      </c>
      <c r="C748" t="str">
        <f>TEXT(F748, "mmmm")</f>
        <v>August</v>
      </c>
      <c r="D748" s="3">
        <f>MONTH(F748)</f>
        <v>8</v>
      </c>
      <c r="E748" s="3">
        <f>YEAR(F748)</f>
        <v>2023</v>
      </c>
      <c r="F748" s="2">
        <v>45157</v>
      </c>
      <c r="G748" s="3" t="s">
        <v>853</v>
      </c>
      <c r="H748" s="3" t="s">
        <v>18</v>
      </c>
      <c r="I748" s="3">
        <v>30</v>
      </c>
      <c r="J748" s="3"/>
      <c r="K748" s="3" t="s">
        <v>195</v>
      </c>
      <c r="L748" s="3">
        <v>3</v>
      </c>
      <c r="M748" s="4">
        <v>500</v>
      </c>
      <c r="N748">
        <f>L748 * M748</f>
        <v>1500</v>
      </c>
      <c r="O748" s="15">
        <f>N748 *$R$3</f>
        <v>22.5</v>
      </c>
    </row>
    <row r="749" spans="1:15" ht="15.75">
      <c r="A749" s="3">
        <v>981</v>
      </c>
      <c r="B749">
        <f>DAY(F749)</f>
        <v>19</v>
      </c>
      <c r="C749" t="str">
        <f>TEXT(F749, "mmmm")</f>
        <v>August</v>
      </c>
      <c r="D749" s="3">
        <f>MONTH(F749)</f>
        <v>8</v>
      </c>
      <c r="E749" s="3">
        <f>YEAR(F749)</f>
        <v>2023</v>
      </c>
      <c r="F749" s="2">
        <v>45157</v>
      </c>
      <c r="G749" s="3" t="s">
        <v>854</v>
      </c>
      <c r="H749" s="3" t="s">
        <v>198</v>
      </c>
      <c r="I749" s="3">
        <v>30</v>
      </c>
      <c r="J749" s="3"/>
      <c r="K749" s="3" t="s">
        <v>196</v>
      </c>
      <c r="L749" s="3">
        <v>2</v>
      </c>
      <c r="M749" s="4">
        <v>30</v>
      </c>
      <c r="N749">
        <f>L749 * M749</f>
        <v>60</v>
      </c>
      <c r="O749" s="15">
        <f>N749 *$R$3</f>
        <v>0.89999999999999991</v>
      </c>
    </row>
    <row r="750" spans="1:15" ht="15.75">
      <c r="A750" s="3">
        <v>987</v>
      </c>
      <c r="B750">
        <f>DAY(F750)</f>
        <v>29</v>
      </c>
      <c r="C750" t="str">
        <f>TEXT(F750, "mmmm")</f>
        <v>April</v>
      </c>
      <c r="D750" s="3">
        <f>MONTH(F750)</f>
        <v>4</v>
      </c>
      <c r="E750" s="3">
        <f>YEAR(F750)</f>
        <v>2023</v>
      </c>
      <c r="F750" s="2">
        <v>45045</v>
      </c>
      <c r="G750" s="3" t="s">
        <v>855</v>
      </c>
      <c r="H750" s="3" t="s">
        <v>198</v>
      </c>
      <c r="I750" s="3">
        <v>30</v>
      </c>
      <c r="J750" s="3"/>
      <c r="K750" s="3" t="s">
        <v>195</v>
      </c>
      <c r="L750" s="3">
        <v>3</v>
      </c>
      <c r="M750" s="4">
        <v>300</v>
      </c>
      <c r="N750">
        <f>L750 * M750</f>
        <v>900</v>
      </c>
      <c r="O750" s="15">
        <f>N750 *$R$3</f>
        <v>13.5</v>
      </c>
    </row>
    <row r="751" spans="1:15" ht="15.75">
      <c r="A751" s="3">
        <v>73</v>
      </c>
      <c r="B751">
        <f>DAY(F751)</f>
        <v>21</v>
      </c>
      <c r="C751" t="str">
        <f>TEXT(F751, "mmmm")</f>
        <v>August</v>
      </c>
      <c r="D751" s="3">
        <f>MONTH(F751)</f>
        <v>8</v>
      </c>
      <c r="E751" s="3">
        <f>YEAR(F751)</f>
        <v>2023</v>
      </c>
      <c r="F751" s="2">
        <v>45159</v>
      </c>
      <c r="G751" s="3" t="s">
        <v>856</v>
      </c>
      <c r="H751" s="3" t="s">
        <v>18</v>
      </c>
      <c r="I751" s="3">
        <v>29</v>
      </c>
      <c r="J751" s="3"/>
      <c r="K751" s="3" t="s">
        <v>196</v>
      </c>
      <c r="L751" s="3">
        <v>3</v>
      </c>
      <c r="M751" s="4">
        <v>30</v>
      </c>
      <c r="N751">
        <f>L751 * M751</f>
        <v>90</v>
      </c>
      <c r="O751" s="15">
        <f>N751 *$R$3</f>
        <v>1.3499999999999999</v>
      </c>
    </row>
    <row r="752" spans="1:15" ht="15.75">
      <c r="A752" s="3">
        <v>151</v>
      </c>
      <c r="B752">
        <f>DAY(F752)</f>
        <v>15</v>
      </c>
      <c r="C752" t="str">
        <f>TEXT(F752, "mmmm")</f>
        <v>December</v>
      </c>
      <c r="D752" s="3">
        <f>MONTH(F752)</f>
        <v>12</v>
      </c>
      <c r="E752" s="3">
        <f>YEAR(F752)</f>
        <v>2023</v>
      </c>
      <c r="F752" s="2">
        <v>45275</v>
      </c>
      <c r="G752" s="3" t="s">
        <v>857</v>
      </c>
      <c r="H752" s="3" t="s">
        <v>18</v>
      </c>
      <c r="I752" s="3">
        <v>29</v>
      </c>
      <c r="J752" s="3"/>
      <c r="K752" s="3" t="s">
        <v>195</v>
      </c>
      <c r="L752" s="3">
        <v>1</v>
      </c>
      <c r="M752" s="4">
        <v>50</v>
      </c>
      <c r="N752">
        <f>L752 * M752</f>
        <v>50</v>
      </c>
      <c r="O752" s="15">
        <f>N752 *$R$3</f>
        <v>0.75</v>
      </c>
    </row>
    <row r="753" spans="1:15" ht="15.75">
      <c r="A753" s="3">
        <v>281</v>
      </c>
      <c r="B753">
        <f>DAY(F753)</f>
        <v>23</v>
      </c>
      <c r="C753" t="str">
        <f>TEXT(F753, "mmmm")</f>
        <v>May</v>
      </c>
      <c r="D753" s="3">
        <f>MONTH(F753)</f>
        <v>5</v>
      </c>
      <c r="E753" s="3">
        <f>YEAR(F753)</f>
        <v>2023</v>
      </c>
      <c r="F753" s="2">
        <v>45069</v>
      </c>
      <c r="G753" s="3" t="s">
        <v>858</v>
      </c>
      <c r="H753" s="3" t="s">
        <v>198</v>
      </c>
      <c r="I753" s="3">
        <v>29</v>
      </c>
      <c r="J753" s="3"/>
      <c r="K753" s="3" t="s">
        <v>19</v>
      </c>
      <c r="L753" s="3">
        <v>4</v>
      </c>
      <c r="M753" s="4">
        <v>500</v>
      </c>
      <c r="N753">
        <f>L753 * M753</f>
        <v>2000</v>
      </c>
      <c r="O753" s="15">
        <f>N753 *$R$3</f>
        <v>30</v>
      </c>
    </row>
    <row r="754" spans="1:15" ht="15.75">
      <c r="A754" s="3">
        <v>323</v>
      </c>
      <c r="B754">
        <f>DAY(F754)</f>
        <v>26</v>
      </c>
      <c r="C754" t="str">
        <f>TEXT(F754, "mmmm")</f>
        <v>January</v>
      </c>
      <c r="D754" s="3">
        <f>MONTH(F754)</f>
        <v>1</v>
      </c>
      <c r="E754" s="3">
        <f>YEAR(F754)</f>
        <v>2023</v>
      </c>
      <c r="F754" s="2">
        <v>44952</v>
      </c>
      <c r="G754" s="3" t="s">
        <v>859</v>
      </c>
      <c r="H754" s="3" t="s">
        <v>198</v>
      </c>
      <c r="I754" s="3">
        <v>29</v>
      </c>
      <c r="J754" s="3"/>
      <c r="K754" s="3" t="s">
        <v>19</v>
      </c>
      <c r="L754" s="3">
        <v>3</v>
      </c>
      <c r="M754" s="4">
        <v>300</v>
      </c>
      <c r="N754">
        <f>L754 * M754</f>
        <v>900</v>
      </c>
      <c r="O754" s="15">
        <f>N754 *$R$3</f>
        <v>13.5</v>
      </c>
    </row>
    <row r="755" spans="1:15" ht="15.75">
      <c r="A755" s="3">
        <v>410</v>
      </c>
      <c r="B755">
        <f>DAY(F755)</f>
        <v>21</v>
      </c>
      <c r="C755" t="str">
        <f>TEXT(F755, "mmmm")</f>
        <v>November</v>
      </c>
      <c r="D755" s="3">
        <f>MONTH(F755)</f>
        <v>11</v>
      </c>
      <c r="E755" s="3">
        <f>YEAR(F755)</f>
        <v>2023</v>
      </c>
      <c r="F755" s="2">
        <v>45251</v>
      </c>
      <c r="G755" s="3" t="s">
        <v>860</v>
      </c>
      <c r="H755" s="3" t="s">
        <v>198</v>
      </c>
      <c r="I755" s="3">
        <v>29</v>
      </c>
      <c r="J755" s="3"/>
      <c r="K755" s="3" t="s">
        <v>195</v>
      </c>
      <c r="L755" s="3">
        <v>2</v>
      </c>
      <c r="M755" s="4">
        <v>50</v>
      </c>
      <c r="N755">
        <f>L755 * M755</f>
        <v>100</v>
      </c>
      <c r="O755" s="15">
        <f>N755 *$R$3</f>
        <v>1.5</v>
      </c>
    </row>
    <row r="756" spans="1:15" ht="15.75">
      <c r="A756" s="3">
        <v>433</v>
      </c>
      <c r="B756">
        <f>DAY(F756)</f>
        <v>27</v>
      </c>
      <c r="C756" t="str">
        <f>TEXT(F756, "mmmm")</f>
        <v>February</v>
      </c>
      <c r="D756" s="3">
        <f>MONTH(F756)</f>
        <v>2</v>
      </c>
      <c r="E756" s="3">
        <f>YEAR(F756)</f>
        <v>2023</v>
      </c>
      <c r="F756" s="2">
        <v>44984</v>
      </c>
      <c r="G756" s="3" t="s">
        <v>114</v>
      </c>
      <c r="H756" s="3" t="s">
        <v>18</v>
      </c>
      <c r="I756" s="3">
        <v>29</v>
      </c>
      <c r="J756" s="3"/>
      <c r="K756" s="3" t="s">
        <v>19</v>
      </c>
      <c r="L756" s="3">
        <v>4</v>
      </c>
      <c r="M756" s="4">
        <v>50</v>
      </c>
      <c r="N756">
        <f>L756 * M756</f>
        <v>200</v>
      </c>
      <c r="O756" s="15">
        <f>N756 *$R$3</f>
        <v>3</v>
      </c>
    </row>
    <row r="757" spans="1:15" ht="15.75">
      <c r="A757" s="3">
        <v>443</v>
      </c>
      <c r="B757">
        <f>DAY(F757)</f>
        <v>9</v>
      </c>
      <c r="C757" t="str">
        <f>TEXT(F757, "mmmm")</f>
        <v>August</v>
      </c>
      <c r="D757" s="3">
        <f>MONTH(F757)</f>
        <v>8</v>
      </c>
      <c r="E757" s="3">
        <f>YEAR(F757)</f>
        <v>2023</v>
      </c>
      <c r="F757" s="2">
        <v>45147</v>
      </c>
      <c r="G757" s="3" t="s">
        <v>861</v>
      </c>
      <c r="H757" s="3" t="s">
        <v>18</v>
      </c>
      <c r="I757" s="3">
        <v>29</v>
      </c>
      <c r="J757" s="3"/>
      <c r="K757" s="3" t="s">
        <v>195</v>
      </c>
      <c r="L757" s="3">
        <v>2</v>
      </c>
      <c r="M757" s="4">
        <v>300</v>
      </c>
      <c r="N757">
        <f>L757 * M757</f>
        <v>600</v>
      </c>
      <c r="O757" s="15">
        <f>N757 *$R$3</f>
        <v>9</v>
      </c>
    </row>
    <row r="758" spans="1:15" ht="15.75">
      <c r="A758" s="3">
        <v>604</v>
      </c>
      <c r="B758">
        <f>DAY(F758)</f>
        <v>11</v>
      </c>
      <c r="C758" t="str">
        <f>TEXT(F758, "mmmm")</f>
        <v>September</v>
      </c>
      <c r="D758" s="3">
        <f>MONTH(F758)</f>
        <v>9</v>
      </c>
      <c r="E758" s="3">
        <f>YEAR(F758)</f>
        <v>2023</v>
      </c>
      <c r="F758" s="2">
        <v>45180</v>
      </c>
      <c r="G758" s="3" t="s">
        <v>862</v>
      </c>
      <c r="H758" s="3" t="s">
        <v>198</v>
      </c>
      <c r="I758" s="3">
        <v>29</v>
      </c>
      <c r="J758" s="3"/>
      <c r="K758" s="3" t="s">
        <v>196</v>
      </c>
      <c r="L758" s="3">
        <v>4</v>
      </c>
      <c r="M758" s="4">
        <v>50</v>
      </c>
      <c r="N758">
        <f>L758 * M758</f>
        <v>200</v>
      </c>
      <c r="O758" s="15">
        <f>N758 *$R$3</f>
        <v>3</v>
      </c>
    </row>
    <row r="759" spans="1:15" ht="15.75">
      <c r="A759" s="3">
        <v>656</v>
      </c>
      <c r="B759">
        <f>DAY(F759)</f>
        <v>4</v>
      </c>
      <c r="C759" t="str">
        <f>TEXT(F759, "mmmm")</f>
        <v>October</v>
      </c>
      <c r="D759" s="3">
        <f>MONTH(F759)</f>
        <v>10</v>
      </c>
      <c r="E759" s="3">
        <f>YEAR(F759)</f>
        <v>2023</v>
      </c>
      <c r="F759" s="2">
        <v>45203</v>
      </c>
      <c r="G759" s="3" t="s">
        <v>76</v>
      </c>
      <c r="H759" s="3" t="s">
        <v>18</v>
      </c>
      <c r="I759" s="3">
        <v>29</v>
      </c>
      <c r="J759" s="3"/>
      <c r="K759" s="3" t="s">
        <v>19</v>
      </c>
      <c r="L759" s="3">
        <v>3</v>
      </c>
      <c r="M759" s="4">
        <v>30</v>
      </c>
      <c r="N759">
        <f>L759 * M759</f>
        <v>90</v>
      </c>
      <c r="O759" s="15">
        <f>N759 *$R$3</f>
        <v>1.3499999999999999</v>
      </c>
    </row>
    <row r="760" spans="1:15" ht="15.75">
      <c r="A760" s="3">
        <v>667</v>
      </c>
      <c r="B760">
        <f>DAY(F760)</f>
        <v>1</v>
      </c>
      <c r="C760" t="str">
        <f>TEXT(F760, "mmmm")</f>
        <v>August</v>
      </c>
      <c r="D760" s="3">
        <f>MONTH(F760)</f>
        <v>8</v>
      </c>
      <c r="E760" s="3">
        <f>YEAR(F760)</f>
        <v>2023</v>
      </c>
      <c r="F760" s="2">
        <v>45139</v>
      </c>
      <c r="G760" s="3" t="s">
        <v>863</v>
      </c>
      <c r="H760" s="3" t="s">
        <v>198</v>
      </c>
      <c r="I760" s="3">
        <v>29</v>
      </c>
      <c r="J760" s="3"/>
      <c r="K760" s="3" t="s">
        <v>196</v>
      </c>
      <c r="L760" s="3">
        <v>1</v>
      </c>
      <c r="M760" s="4">
        <v>500</v>
      </c>
      <c r="N760">
        <f>L760 * M760</f>
        <v>500</v>
      </c>
      <c r="O760" s="15">
        <f>N760 *$R$3</f>
        <v>7.5</v>
      </c>
    </row>
    <row r="761" spans="1:15" ht="15.75">
      <c r="A761" s="3">
        <v>729</v>
      </c>
      <c r="B761">
        <f>DAY(F761)</f>
        <v>23</v>
      </c>
      <c r="C761" t="str">
        <f>TEXT(F761, "mmmm")</f>
        <v>May</v>
      </c>
      <c r="D761" s="3">
        <f>MONTH(F761)</f>
        <v>5</v>
      </c>
      <c r="E761" s="3">
        <f>YEAR(F761)</f>
        <v>2023</v>
      </c>
      <c r="F761" s="2">
        <v>45069</v>
      </c>
      <c r="G761" s="3" t="s">
        <v>864</v>
      </c>
      <c r="H761" s="3" t="s">
        <v>18</v>
      </c>
      <c r="I761" s="3">
        <v>29</v>
      </c>
      <c r="J761" s="3"/>
      <c r="K761" s="3" t="s">
        <v>195</v>
      </c>
      <c r="L761" s="3">
        <v>4</v>
      </c>
      <c r="M761" s="4">
        <v>300</v>
      </c>
      <c r="N761">
        <f>L761 * M761</f>
        <v>1200</v>
      </c>
      <c r="O761" s="15">
        <f>N761 *$R$3</f>
        <v>18</v>
      </c>
    </row>
    <row r="762" spans="1:15" ht="15.75">
      <c r="A762" s="3">
        <v>736</v>
      </c>
      <c r="B762">
        <f>DAY(F762)</f>
        <v>27</v>
      </c>
      <c r="C762" t="str">
        <f>TEXT(F762, "mmmm")</f>
        <v>January</v>
      </c>
      <c r="D762" s="3">
        <f>MONTH(F762)</f>
        <v>1</v>
      </c>
      <c r="E762" s="3">
        <f>YEAR(F762)</f>
        <v>2023</v>
      </c>
      <c r="F762" s="2">
        <v>44953</v>
      </c>
      <c r="G762" s="3" t="s">
        <v>865</v>
      </c>
      <c r="H762" s="3" t="s">
        <v>18</v>
      </c>
      <c r="I762" s="3">
        <v>29</v>
      </c>
      <c r="J762" s="3"/>
      <c r="K762" s="3" t="s">
        <v>195</v>
      </c>
      <c r="L762" s="3">
        <v>4</v>
      </c>
      <c r="M762" s="4">
        <v>25</v>
      </c>
      <c r="N762">
        <f>L762 * M762</f>
        <v>100</v>
      </c>
      <c r="O762" s="15">
        <f>N762 *$R$3</f>
        <v>1.5</v>
      </c>
    </row>
    <row r="763" spans="1:15" ht="15.75">
      <c r="A763" s="3">
        <v>752</v>
      </c>
      <c r="B763">
        <f>DAY(F763)</f>
        <v>9</v>
      </c>
      <c r="C763" t="str">
        <f>TEXT(F763, "mmmm")</f>
        <v>December</v>
      </c>
      <c r="D763" s="3">
        <f>MONTH(F763)</f>
        <v>12</v>
      </c>
      <c r="E763" s="3">
        <f>YEAR(F763)</f>
        <v>2023</v>
      </c>
      <c r="F763" s="2">
        <v>45269</v>
      </c>
      <c r="G763" s="3" t="s">
        <v>866</v>
      </c>
      <c r="H763" s="3" t="s">
        <v>18</v>
      </c>
      <c r="I763" s="3">
        <v>29</v>
      </c>
      <c r="J763" s="3"/>
      <c r="K763" s="3" t="s">
        <v>195</v>
      </c>
      <c r="L763" s="3">
        <v>2</v>
      </c>
      <c r="M763" s="4">
        <v>50</v>
      </c>
      <c r="N763">
        <f>L763 * M763</f>
        <v>100</v>
      </c>
      <c r="O763" s="15">
        <f>N763 *$R$3</f>
        <v>1.5</v>
      </c>
    </row>
    <row r="764" spans="1:15" ht="15.75">
      <c r="A764" s="3">
        <v>854</v>
      </c>
      <c r="B764">
        <f>DAY(F764)</f>
        <v>20</v>
      </c>
      <c r="C764" t="str">
        <f>TEXT(F764, "mmmm")</f>
        <v>December</v>
      </c>
      <c r="D764" s="3">
        <f>MONTH(F764)</f>
        <v>12</v>
      </c>
      <c r="E764" s="3">
        <f>YEAR(F764)</f>
        <v>2023</v>
      </c>
      <c r="F764" s="2">
        <v>45280</v>
      </c>
      <c r="G764" s="3" t="s">
        <v>867</v>
      </c>
      <c r="H764" s="3" t="s">
        <v>18</v>
      </c>
      <c r="I764" s="3">
        <v>29</v>
      </c>
      <c r="J764" s="3"/>
      <c r="K764" s="3" t="s">
        <v>195</v>
      </c>
      <c r="L764" s="3">
        <v>1</v>
      </c>
      <c r="M764" s="4">
        <v>50</v>
      </c>
      <c r="N764">
        <f>L764 * M764</f>
        <v>50</v>
      </c>
      <c r="O764" s="15">
        <f>N764 *$R$3</f>
        <v>0.75</v>
      </c>
    </row>
    <row r="765" spans="1:15" ht="15.75">
      <c r="A765" s="3">
        <v>913</v>
      </c>
      <c r="B765">
        <f>DAY(F765)</f>
        <v>28</v>
      </c>
      <c r="C765" t="str">
        <f>TEXT(F765, "mmmm")</f>
        <v>January</v>
      </c>
      <c r="D765" s="3">
        <f>MONTH(F765)</f>
        <v>1</v>
      </c>
      <c r="E765" s="3">
        <f>YEAR(F765)</f>
        <v>2023</v>
      </c>
      <c r="F765" s="2">
        <v>44954</v>
      </c>
      <c r="G765" s="3" t="s">
        <v>868</v>
      </c>
      <c r="H765" s="3" t="s">
        <v>18</v>
      </c>
      <c r="I765" s="3">
        <v>29</v>
      </c>
      <c r="J765" s="3"/>
      <c r="K765" s="3" t="s">
        <v>196</v>
      </c>
      <c r="L765" s="3">
        <v>3</v>
      </c>
      <c r="M765" s="4">
        <v>30</v>
      </c>
      <c r="N765">
        <f>L765 * M765</f>
        <v>90</v>
      </c>
      <c r="O765" s="15">
        <f>N765 *$R$3</f>
        <v>1.3499999999999999</v>
      </c>
    </row>
    <row r="766" spans="1:15" ht="15.75">
      <c r="A766" s="3">
        <v>983</v>
      </c>
      <c r="B766">
        <f>DAY(F766)</f>
        <v>1</v>
      </c>
      <c r="C766" t="str">
        <f>TEXT(F766, "mmmm")</f>
        <v>November</v>
      </c>
      <c r="D766" s="3">
        <f>MONTH(F766)</f>
        <v>11</v>
      </c>
      <c r="E766" s="3">
        <f>YEAR(F766)</f>
        <v>2023</v>
      </c>
      <c r="F766" s="2">
        <v>45231</v>
      </c>
      <c r="G766" s="3" t="s">
        <v>869</v>
      </c>
      <c r="H766" s="3" t="s">
        <v>198</v>
      </c>
      <c r="I766" s="3">
        <v>29</v>
      </c>
      <c r="J766" s="3"/>
      <c r="K766" s="3" t="s">
        <v>195</v>
      </c>
      <c r="L766" s="3">
        <v>1</v>
      </c>
      <c r="M766" s="4">
        <v>300</v>
      </c>
      <c r="N766">
        <f>L766 * M766</f>
        <v>300</v>
      </c>
      <c r="O766" s="15">
        <f>N766 *$R$3</f>
        <v>4.5</v>
      </c>
    </row>
    <row r="767" spans="1:15" ht="15.75">
      <c r="A767" s="3">
        <v>26</v>
      </c>
      <c r="B767">
        <f>DAY(F767)</f>
        <v>7</v>
      </c>
      <c r="C767" t="str">
        <f>TEXT(F767, "mmmm")</f>
        <v>October</v>
      </c>
      <c r="D767" s="3">
        <f>MONTH(F767)</f>
        <v>10</v>
      </c>
      <c r="E767" s="3">
        <f>YEAR(F767)</f>
        <v>2023</v>
      </c>
      <c r="F767" s="2">
        <v>45206</v>
      </c>
      <c r="G767" s="3" t="s">
        <v>870</v>
      </c>
      <c r="H767" s="3" t="s">
        <v>198</v>
      </c>
      <c r="I767" s="3">
        <v>28</v>
      </c>
      <c r="J767" s="3"/>
      <c r="K767" s="3" t="s">
        <v>196</v>
      </c>
      <c r="L767" s="3">
        <v>2</v>
      </c>
      <c r="M767" s="4">
        <v>500</v>
      </c>
      <c r="N767">
        <f>L767 * M767</f>
        <v>1000</v>
      </c>
      <c r="O767" s="15">
        <f>N767 *$R$3</f>
        <v>15</v>
      </c>
    </row>
    <row r="768" spans="1:15" ht="15.75">
      <c r="A768" s="3">
        <v>87</v>
      </c>
      <c r="B768">
        <f>DAY(F768)</f>
        <v>22</v>
      </c>
      <c r="C768" t="str">
        <f>TEXT(F768, "mmmm")</f>
        <v>November</v>
      </c>
      <c r="D768" s="3">
        <f>MONTH(F768)</f>
        <v>11</v>
      </c>
      <c r="E768" s="3">
        <f>YEAR(F768)</f>
        <v>2023</v>
      </c>
      <c r="F768" s="2">
        <v>45252</v>
      </c>
      <c r="G768" s="3" t="s">
        <v>871</v>
      </c>
      <c r="H768" s="3" t="s">
        <v>198</v>
      </c>
      <c r="I768" s="3">
        <v>28</v>
      </c>
      <c r="J768" s="3"/>
      <c r="K768" s="3" t="s">
        <v>19</v>
      </c>
      <c r="L768" s="3">
        <v>2</v>
      </c>
      <c r="M768" s="4">
        <v>50</v>
      </c>
      <c r="N768">
        <f>L768 * M768</f>
        <v>100</v>
      </c>
      <c r="O768" s="15">
        <f>N768 *$R$3</f>
        <v>1.5</v>
      </c>
    </row>
    <row r="769" spans="1:15" ht="15.75">
      <c r="A769" s="3">
        <v>121</v>
      </c>
      <c r="B769">
        <f>DAY(F769)</f>
        <v>15</v>
      </c>
      <c r="C769" t="str">
        <f>TEXT(F769, "mmmm")</f>
        <v>October</v>
      </c>
      <c r="D769" s="3">
        <f>MONTH(F769)</f>
        <v>10</v>
      </c>
      <c r="E769" s="3">
        <f>YEAR(F769)</f>
        <v>2023</v>
      </c>
      <c r="F769" s="2">
        <v>45214</v>
      </c>
      <c r="G769" s="3" t="s">
        <v>872</v>
      </c>
      <c r="H769" s="3" t="s">
        <v>198</v>
      </c>
      <c r="I769" s="3">
        <v>28</v>
      </c>
      <c r="J769" s="3"/>
      <c r="K769" s="3" t="s">
        <v>196</v>
      </c>
      <c r="L769" s="3">
        <v>4</v>
      </c>
      <c r="M769" s="4">
        <v>50</v>
      </c>
      <c r="N769">
        <f>L769 * M769</f>
        <v>200</v>
      </c>
      <c r="O769" s="15">
        <f>N769 *$R$3</f>
        <v>3</v>
      </c>
    </row>
    <row r="770" spans="1:15" ht="15.75">
      <c r="A770" s="3">
        <v>126</v>
      </c>
      <c r="B770">
        <f>DAY(F770)</f>
        <v>26</v>
      </c>
      <c r="C770" t="str">
        <f>TEXT(F770, "mmmm")</f>
        <v>October</v>
      </c>
      <c r="D770" s="3">
        <f>MONTH(F770)</f>
        <v>10</v>
      </c>
      <c r="E770" s="3">
        <f>YEAR(F770)</f>
        <v>2023</v>
      </c>
      <c r="F770" s="2">
        <v>45225</v>
      </c>
      <c r="G770" s="3" t="s">
        <v>873</v>
      </c>
      <c r="H770" s="3" t="s">
        <v>198</v>
      </c>
      <c r="I770" s="3">
        <v>28</v>
      </c>
      <c r="J770" s="3"/>
      <c r="K770" s="3" t="s">
        <v>195</v>
      </c>
      <c r="L770" s="3">
        <v>3</v>
      </c>
      <c r="M770" s="4">
        <v>30</v>
      </c>
      <c r="N770">
        <f>L770 * M770</f>
        <v>90</v>
      </c>
      <c r="O770" s="15">
        <f>N770 *$R$3</f>
        <v>1.3499999999999999</v>
      </c>
    </row>
    <row r="771" spans="1:15" ht="15.75">
      <c r="A771" s="3">
        <v>244</v>
      </c>
      <c r="B771">
        <f>DAY(F771)</f>
        <v>9</v>
      </c>
      <c r="C771" t="str">
        <f>TEXT(F771, "mmmm")</f>
        <v>December</v>
      </c>
      <c r="D771" s="3">
        <f>MONTH(F771)</f>
        <v>12</v>
      </c>
      <c r="E771" s="3">
        <f>YEAR(F771)</f>
        <v>2023</v>
      </c>
      <c r="F771" s="2">
        <v>45269</v>
      </c>
      <c r="G771" s="3" t="s">
        <v>94</v>
      </c>
      <c r="H771" s="3" t="s">
        <v>18</v>
      </c>
      <c r="I771" s="3">
        <v>28</v>
      </c>
      <c r="J771" s="3"/>
      <c r="K771" s="3" t="s">
        <v>19</v>
      </c>
      <c r="L771" s="3">
        <v>2</v>
      </c>
      <c r="M771" s="4">
        <v>50</v>
      </c>
      <c r="N771">
        <f>L771 * M771</f>
        <v>100</v>
      </c>
      <c r="O771" s="15">
        <f>N771 *$R$3</f>
        <v>1.5</v>
      </c>
    </row>
    <row r="772" spans="1:15" ht="15.75">
      <c r="A772" s="3">
        <v>260</v>
      </c>
      <c r="B772">
        <f>DAY(F772)</f>
        <v>1</v>
      </c>
      <c r="C772" t="str">
        <f>TEXT(F772, "mmmm")</f>
        <v>July</v>
      </c>
      <c r="D772" s="3">
        <f>MONTH(F772)</f>
        <v>7</v>
      </c>
      <c r="E772" s="3">
        <f>YEAR(F772)</f>
        <v>2023</v>
      </c>
      <c r="F772" s="2">
        <v>45108</v>
      </c>
      <c r="G772" s="3" t="s">
        <v>61</v>
      </c>
      <c r="H772" s="3" t="s">
        <v>18</v>
      </c>
      <c r="I772" s="3">
        <v>28</v>
      </c>
      <c r="J772" s="3"/>
      <c r="K772" s="3" t="s">
        <v>19</v>
      </c>
      <c r="L772" s="3">
        <v>2</v>
      </c>
      <c r="M772" s="4">
        <v>30</v>
      </c>
      <c r="N772">
        <f>L772 * M772</f>
        <v>60</v>
      </c>
      <c r="O772" s="15">
        <f>N772 *$R$3</f>
        <v>0.89999999999999991</v>
      </c>
    </row>
    <row r="773" spans="1:15" ht="15.75">
      <c r="A773" s="3">
        <v>268</v>
      </c>
      <c r="B773">
        <f>DAY(F773)</f>
        <v>20</v>
      </c>
      <c r="C773" t="str">
        <f>TEXT(F773, "mmmm")</f>
        <v>February</v>
      </c>
      <c r="D773" s="3">
        <f>MONTH(F773)</f>
        <v>2</v>
      </c>
      <c r="E773" s="3">
        <f>YEAR(F773)</f>
        <v>2023</v>
      </c>
      <c r="F773" s="2">
        <v>44977</v>
      </c>
      <c r="G773" s="3" t="s">
        <v>874</v>
      </c>
      <c r="H773" s="3" t="s">
        <v>198</v>
      </c>
      <c r="I773" s="3">
        <v>28</v>
      </c>
      <c r="J773" s="3"/>
      <c r="K773" s="3" t="s">
        <v>196</v>
      </c>
      <c r="L773" s="3">
        <v>1</v>
      </c>
      <c r="M773" s="4">
        <v>30</v>
      </c>
      <c r="N773">
        <f>L773 * M773</f>
        <v>30</v>
      </c>
      <c r="O773" s="15">
        <f>N773 *$R$3</f>
        <v>0.44999999999999996</v>
      </c>
    </row>
    <row r="774" spans="1:15" ht="15.75">
      <c r="A774" s="3">
        <v>288</v>
      </c>
      <c r="B774">
        <f>DAY(F774)</f>
        <v>26</v>
      </c>
      <c r="C774" t="str">
        <f>TEXT(F774, "mmmm")</f>
        <v>January</v>
      </c>
      <c r="D774" s="3">
        <f>MONTH(F774)</f>
        <v>1</v>
      </c>
      <c r="E774" s="3">
        <f>YEAR(F774)</f>
        <v>2023</v>
      </c>
      <c r="F774" s="2">
        <v>44952</v>
      </c>
      <c r="G774" s="3" t="s">
        <v>875</v>
      </c>
      <c r="H774" s="3" t="s">
        <v>18</v>
      </c>
      <c r="I774" s="3">
        <v>28</v>
      </c>
      <c r="J774" s="3"/>
      <c r="K774" s="3" t="s">
        <v>195</v>
      </c>
      <c r="L774" s="3">
        <v>4</v>
      </c>
      <c r="M774" s="4">
        <v>30</v>
      </c>
      <c r="N774">
        <f>L774 * M774</f>
        <v>120</v>
      </c>
      <c r="O774" s="15">
        <f>N774 *$R$3</f>
        <v>1.7999999999999998</v>
      </c>
    </row>
    <row r="775" spans="1:15" ht="15.75">
      <c r="A775" s="3">
        <v>310</v>
      </c>
      <c r="B775">
        <f>DAY(F775)</f>
        <v>12</v>
      </c>
      <c r="C775" t="str">
        <f>TEXT(F775, "mmmm")</f>
        <v>October</v>
      </c>
      <c r="D775" s="3">
        <f>MONTH(F775)</f>
        <v>10</v>
      </c>
      <c r="E775" s="3">
        <f>YEAR(F775)</f>
        <v>2023</v>
      </c>
      <c r="F775" s="2">
        <v>45211</v>
      </c>
      <c r="G775" s="3" t="s">
        <v>876</v>
      </c>
      <c r="H775" s="3" t="s">
        <v>198</v>
      </c>
      <c r="I775" s="3">
        <v>28</v>
      </c>
      <c r="J775" s="3"/>
      <c r="K775" s="3" t="s">
        <v>19</v>
      </c>
      <c r="L775" s="3">
        <v>1</v>
      </c>
      <c r="M775" s="4">
        <v>25</v>
      </c>
      <c r="N775">
        <f>L775 * M775</f>
        <v>25</v>
      </c>
      <c r="O775" s="15">
        <f>N775 *$R$3</f>
        <v>0.375</v>
      </c>
    </row>
    <row r="776" spans="1:15" ht="15.75">
      <c r="A776" s="3">
        <v>320</v>
      </c>
      <c r="B776">
        <f>DAY(F776)</f>
        <v>1</v>
      </c>
      <c r="C776" t="str">
        <f>TEXT(F776, "mmmm")</f>
        <v>February</v>
      </c>
      <c r="D776" s="3">
        <f>MONTH(F776)</f>
        <v>2</v>
      </c>
      <c r="E776" s="3">
        <f>YEAR(F776)</f>
        <v>2023</v>
      </c>
      <c r="F776" s="2">
        <v>44958</v>
      </c>
      <c r="G776" s="3" t="s">
        <v>877</v>
      </c>
      <c r="H776" s="3" t="s">
        <v>198</v>
      </c>
      <c r="I776" s="3">
        <v>28</v>
      </c>
      <c r="J776" s="3"/>
      <c r="K776" s="3" t="s">
        <v>196</v>
      </c>
      <c r="L776" s="3">
        <v>4</v>
      </c>
      <c r="M776" s="4">
        <v>300</v>
      </c>
      <c r="N776">
        <f>L776 * M776</f>
        <v>1200</v>
      </c>
      <c r="O776" s="15">
        <f>N776 *$R$3</f>
        <v>18</v>
      </c>
    </row>
    <row r="777" spans="1:15" ht="15.75">
      <c r="A777" s="3">
        <v>331</v>
      </c>
      <c r="B777">
        <f>DAY(F777)</f>
        <v>11</v>
      </c>
      <c r="C777" t="str">
        <f>TEXT(F777, "mmmm")</f>
        <v>February</v>
      </c>
      <c r="D777" s="3">
        <f>MONTH(F777)</f>
        <v>2</v>
      </c>
      <c r="E777" s="3">
        <f>YEAR(F777)</f>
        <v>2023</v>
      </c>
      <c r="F777" s="2">
        <v>44968</v>
      </c>
      <c r="G777" s="3" t="s">
        <v>878</v>
      </c>
      <c r="H777" s="3" t="s">
        <v>18</v>
      </c>
      <c r="I777" s="3">
        <v>28</v>
      </c>
      <c r="J777" s="3"/>
      <c r="K777" s="3" t="s">
        <v>196</v>
      </c>
      <c r="L777" s="3">
        <v>3</v>
      </c>
      <c r="M777" s="4">
        <v>30</v>
      </c>
      <c r="N777">
        <f>L777 * M777</f>
        <v>90</v>
      </c>
      <c r="O777" s="15">
        <f>N777 *$R$3</f>
        <v>1.3499999999999999</v>
      </c>
    </row>
    <row r="778" spans="1:15" ht="15.75">
      <c r="A778" s="3">
        <v>422</v>
      </c>
      <c r="B778">
        <f>DAY(F778)</f>
        <v>20</v>
      </c>
      <c r="C778" t="str">
        <f>TEXT(F778, "mmmm")</f>
        <v>June</v>
      </c>
      <c r="D778" s="3">
        <f>MONTH(F778)</f>
        <v>6</v>
      </c>
      <c r="E778" s="3">
        <f>YEAR(F778)</f>
        <v>2023</v>
      </c>
      <c r="F778" s="2">
        <v>45097</v>
      </c>
      <c r="G778" s="3" t="s">
        <v>879</v>
      </c>
      <c r="H778" s="3" t="s">
        <v>198</v>
      </c>
      <c r="I778" s="3">
        <v>28</v>
      </c>
      <c r="J778" s="3"/>
      <c r="K778" s="3" t="s">
        <v>195</v>
      </c>
      <c r="L778" s="3">
        <v>3</v>
      </c>
      <c r="M778" s="4">
        <v>30</v>
      </c>
      <c r="N778">
        <f>L778 * M778</f>
        <v>90</v>
      </c>
      <c r="O778" s="15">
        <f>N778 *$R$3</f>
        <v>1.3499999999999999</v>
      </c>
    </row>
    <row r="779" spans="1:15" ht="15.75">
      <c r="A779" s="3">
        <v>459</v>
      </c>
      <c r="B779">
        <f>DAY(F779)</f>
        <v>21</v>
      </c>
      <c r="C779" t="str">
        <f>TEXT(F779, "mmmm")</f>
        <v>March</v>
      </c>
      <c r="D779" s="3">
        <f>MONTH(F779)</f>
        <v>3</v>
      </c>
      <c r="E779" s="3">
        <f>YEAR(F779)</f>
        <v>2023</v>
      </c>
      <c r="F779" s="2">
        <v>45006</v>
      </c>
      <c r="G779" s="3" t="s">
        <v>880</v>
      </c>
      <c r="H779" s="3" t="s">
        <v>18</v>
      </c>
      <c r="I779" s="3">
        <v>28</v>
      </c>
      <c r="J779" s="3"/>
      <c r="K779" s="3" t="s">
        <v>195</v>
      </c>
      <c r="L779" s="3">
        <v>4</v>
      </c>
      <c r="M779" s="4">
        <v>300</v>
      </c>
      <c r="N779">
        <f>L779 * M779</f>
        <v>1200</v>
      </c>
      <c r="O779" s="15">
        <f>N779 *$R$3</f>
        <v>18</v>
      </c>
    </row>
    <row r="780" spans="1:15" ht="15.75">
      <c r="A780" s="3">
        <v>482</v>
      </c>
      <c r="B780">
        <f>DAY(F780)</f>
        <v>27</v>
      </c>
      <c r="C780" t="str">
        <f>TEXT(F780, "mmmm")</f>
        <v>April</v>
      </c>
      <c r="D780" s="3">
        <f>MONTH(F780)</f>
        <v>4</v>
      </c>
      <c r="E780" s="3">
        <f>YEAR(F780)</f>
        <v>2023</v>
      </c>
      <c r="F780" s="2">
        <v>45043</v>
      </c>
      <c r="G780" s="3" t="s">
        <v>881</v>
      </c>
      <c r="H780" s="3" t="s">
        <v>198</v>
      </c>
      <c r="I780" s="3">
        <v>28</v>
      </c>
      <c r="J780" s="3"/>
      <c r="K780" s="3" t="s">
        <v>195</v>
      </c>
      <c r="L780" s="3">
        <v>4</v>
      </c>
      <c r="M780" s="4">
        <v>300</v>
      </c>
      <c r="N780">
        <f>L780 * M780</f>
        <v>1200</v>
      </c>
      <c r="O780" s="15">
        <f>N780 *$R$3</f>
        <v>18</v>
      </c>
    </row>
    <row r="781" spans="1:15" ht="15.75">
      <c r="A781" s="3">
        <v>599</v>
      </c>
      <c r="B781">
        <f>DAY(F781)</f>
        <v>19</v>
      </c>
      <c r="C781" t="str">
        <f>TEXT(F781, "mmmm")</f>
        <v>November</v>
      </c>
      <c r="D781" s="3">
        <f>MONTH(F781)</f>
        <v>11</v>
      </c>
      <c r="E781" s="3">
        <f>YEAR(F781)</f>
        <v>2023</v>
      </c>
      <c r="F781" s="2">
        <v>45249</v>
      </c>
      <c r="G781" s="3" t="s">
        <v>882</v>
      </c>
      <c r="H781" s="3" t="s">
        <v>198</v>
      </c>
      <c r="I781" s="3">
        <v>28</v>
      </c>
      <c r="J781" s="3"/>
      <c r="K781" s="3" t="s">
        <v>19</v>
      </c>
      <c r="L781" s="3">
        <v>2</v>
      </c>
      <c r="M781" s="4">
        <v>50</v>
      </c>
      <c r="N781">
        <f>L781 * M781</f>
        <v>100</v>
      </c>
      <c r="O781" s="15">
        <f>N781 *$R$3</f>
        <v>1.5</v>
      </c>
    </row>
    <row r="782" spans="1:15" ht="15.75">
      <c r="A782" s="3">
        <v>643</v>
      </c>
      <c r="B782">
        <f>DAY(F782)</f>
        <v>24</v>
      </c>
      <c r="C782" t="str">
        <f>TEXT(F782, "mmmm")</f>
        <v>September</v>
      </c>
      <c r="D782" s="3">
        <f>MONTH(F782)</f>
        <v>9</v>
      </c>
      <c r="E782" s="3">
        <f>YEAR(F782)</f>
        <v>2023</v>
      </c>
      <c r="F782" s="2">
        <v>45193</v>
      </c>
      <c r="G782" s="3" t="s">
        <v>883</v>
      </c>
      <c r="H782" s="3" t="s">
        <v>198</v>
      </c>
      <c r="I782" s="3">
        <v>28</v>
      </c>
      <c r="J782" s="3"/>
      <c r="K782" s="3" t="s">
        <v>196</v>
      </c>
      <c r="L782" s="3">
        <v>3</v>
      </c>
      <c r="M782" s="4">
        <v>30</v>
      </c>
      <c r="N782">
        <f>L782 * M782</f>
        <v>90</v>
      </c>
      <c r="O782" s="15">
        <f>N782 *$R$3</f>
        <v>1.3499999999999999</v>
      </c>
    </row>
    <row r="783" spans="1:15" ht="15.75">
      <c r="A783" s="3">
        <v>684</v>
      </c>
      <c r="B783">
        <f>DAY(F783)</f>
        <v>30</v>
      </c>
      <c r="C783" t="str">
        <f>TEXT(F783, "mmmm")</f>
        <v>June</v>
      </c>
      <c r="D783" s="3">
        <f>MONTH(F783)</f>
        <v>6</v>
      </c>
      <c r="E783" s="3">
        <f>YEAR(F783)</f>
        <v>2023</v>
      </c>
      <c r="F783" s="2">
        <v>45107</v>
      </c>
      <c r="G783" s="3" t="s">
        <v>884</v>
      </c>
      <c r="H783" s="3" t="s">
        <v>198</v>
      </c>
      <c r="I783" s="3">
        <v>28</v>
      </c>
      <c r="J783" s="3"/>
      <c r="K783" s="3" t="s">
        <v>195</v>
      </c>
      <c r="L783" s="3">
        <v>2</v>
      </c>
      <c r="M783" s="4">
        <v>500</v>
      </c>
      <c r="N783">
        <f>L783 * M783</f>
        <v>1000</v>
      </c>
      <c r="O783" s="15">
        <f>N783 *$R$3</f>
        <v>15</v>
      </c>
    </row>
    <row r="784" spans="1:15" ht="15.75">
      <c r="A784" s="3">
        <v>686</v>
      </c>
      <c r="B784">
        <f>DAY(F784)</f>
        <v>19</v>
      </c>
      <c r="C784" t="str">
        <f>TEXT(F784, "mmmm")</f>
        <v>July</v>
      </c>
      <c r="D784" s="3">
        <f>MONTH(F784)</f>
        <v>7</v>
      </c>
      <c r="E784" s="3">
        <f>YEAR(F784)</f>
        <v>2023</v>
      </c>
      <c r="F784" s="2">
        <v>45126</v>
      </c>
      <c r="G784" s="3" t="s">
        <v>885</v>
      </c>
      <c r="H784" s="3" t="s">
        <v>198</v>
      </c>
      <c r="I784" s="3">
        <v>28</v>
      </c>
      <c r="J784" s="3"/>
      <c r="K784" s="3" t="s">
        <v>196</v>
      </c>
      <c r="L784" s="3">
        <v>4</v>
      </c>
      <c r="M784" s="4">
        <v>50</v>
      </c>
      <c r="N784">
        <f>L784 * M784</f>
        <v>200</v>
      </c>
      <c r="O784" s="15">
        <f>N784 *$R$3</f>
        <v>3</v>
      </c>
    </row>
    <row r="785" spans="1:15" ht="15.75">
      <c r="A785" s="3">
        <v>862</v>
      </c>
      <c r="B785">
        <f>DAY(F785)</f>
        <v>31</v>
      </c>
      <c r="C785" t="str">
        <f>TEXT(F785, "mmmm")</f>
        <v>May</v>
      </c>
      <c r="D785" s="3">
        <f>MONTH(F785)</f>
        <v>5</v>
      </c>
      <c r="E785" s="3">
        <f>YEAR(F785)</f>
        <v>2023</v>
      </c>
      <c r="F785" s="2">
        <v>45077</v>
      </c>
      <c r="G785" s="3" t="s">
        <v>886</v>
      </c>
      <c r="H785" s="3" t="s">
        <v>18</v>
      </c>
      <c r="I785" s="3">
        <v>28</v>
      </c>
      <c r="J785" s="3"/>
      <c r="K785" s="3" t="s">
        <v>196</v>
      </c>
      <c r="L785" s="3">
        <v>4</v>
      </c>
      <c r="M785" s="4">
        <v>300</v>
      </c>
      <c r="N785">
        <f>L785 * M785</f>
        <v>1200</v>
      </c>
      <c r="O785" s="15">
        <f>N785 *$R$3</f>
        <v>18</v>
      </c>
    </row>
    <row r="786" spans="1:15" ht="15.75">
      <c r="A786" s="3">
        <v>904</v>
      </c>
      <c r="B786">
        <f>DAY(F786)</f>
        <v>4</v>
      </c>
      <c r="C786" t="str">
        <f>TEXT(F786, "mmmm")</f>
        <v>July</v>
      </c>
      <c r="D786" s="3">
        <f>MONTH(F786)</f>
        <v>7</v>
      </c>
      <c r="E786" s="3">
        <f>YEAR(F786)</f>
        <v>2023</v>
      </c>
      <c r="F786" s="2">
        <v>45111</v>
      </c>
      <c r="G786" s="3" t="s">
        <v>887</v>
      </c>
      <c r="H786" s="3" t="s">
        <v>18</v>
      </c>
      <c r="I786" s="3">
        <v>28</v>
      </c>
      <c r="J786" s="3"/>
      <c r="K786" s="3" t="s">
        <v>195</v>
      </c>
      <c r="L786" s="3">
        <v>1</v>
      </c>
      <c r="M786" s="4">
        <v>500</v>
      </c>
      <c r="N786">
        <f>L786 * M786</f>
        <v>500</v>
      </c>
      <c r="O786" s="15">
        <f>N786 *$R$3</f>
        <v>7.5</v>
      </c>
    </row>
    <row r="787" spans="1:15" ht="15.75">
      <c r="A787" s="3">
        <v>920</v>
      </c>
      <c r="B787">
        <f>DAY(F787)</f>
        <v>22</v>
      </c>
      <c r="C787" t="str">
        <f>TEXT(F787, "mmmm")</f>
        <v>February</v>
      </c>
      <c r="D787" s="3">
        <f>MONTH(F787)</f>
        <v>2</v>
      </c>
      <c r="E787" s="3">
        <f>YEAR(F787)</f>
        <v>2023</v>
      </c>
      <c r="F787" s="2">
        <v>44979</v>
      </c>
      <c r="G787" s="3" t="s">
        <v>888</v>
      </c>
      <c r="H787" s="3" t="s">
        <v>198</v>
      </c>
      <c r="I787" s="3">
        <v>28</v>
      </c>
      <c r="J787" s="3"/>
      <c r="K787" s="3" t="s">
        <v>19</v>
      </c>
      <c r="L787" s="3">
        <v>3</v>
      </c>
      <c r="M787" s="4">
        <v>25</v>
      </c>
      <c r="N787">
        <f>L787 * M787</f>
        <v>75</v>
      </c>
      <c r="O787" s="15">
        <f>N787 *$R$3</f>
        <v>1.125</v>
      </c>
    </row>
    <row r="788" spans="1:15" ht="15.75">
      <c r="A788" s="3">
        <v>17</v>
      </c>
      <c r="B788">
        <f>DAY(F788)</f>
        <v>22</v>
      </c>
      <c r="C788" t="str">
        <f>TEXT(F788, "mmmm")</f>
        <v>April</v>
      </c>
      <c r="D788" s="3">
        <f>MONTH(F788)</f>
        <v>4</v>
      </c>
      <c r="E788" s="3">
        <f>YEAR(F788)</f>
        <v>2023</v>
      </c>
      <c r="F788" s="2">
        <v>45038</v>
      </c>
      <c r="G788" s="3" t="s">
        <v>889</v>
      </c>
      <c r="H788" s="3" t="s">
        <v>198</v>
      </c>
      <c r="I788" s="3">
        <v>27</v>
      </c>
      <c r="J788" s="3"/>
      <c r="K788" s="3" t="s">
        <v>195</v>
      </c>
      <c r="L788" s="3">
        <v>4</v>
      </c>
      <c r="M788" s="4">
        <v>25</v>
      </c>
      <c r="N788">
        <f>L788 * M788</f>
        <v>100</v>
      </c>
      <c r="O788" s="15">
        <f>N788 *$R$3</f>
        <v>1.5</v>
      </c>
    </row>
    <row r="789" spans="1:15" ht="15.75">
      <c r="A789" s="3">
        <v>50</v>
      </c>
      <c r="B789">
        <f>DAY(F789)</f>
        <v>24</v>
      </c>
      <c r="C789" t="str">
        <f>TEXT(F789, "mmmm")</f>
        <v>August</v>
      </c>
      <c r="D789" s="3">
        <f>MONTH(F789)</f>
        <v>8</v>
      </c>
      <c r="E789" s="3">
        <f>YEAR(F789)</f>
        <v>2023</v>
      </c>
      <c r="F789" s="2">
        <v>45162</v>
      </c>
      <c r="G789" s="3" t="s">
        <v>890</v>
      </c>
      <c r="H789" s="3" t="s">
        <v>198</v>
      </c>
      <c r="I789" s="3">
        <v>27</v>
      </c>
      <c r="J789" s="3"/>
      <c r="K789" s="3" t="s">
        <v>19</v>
      </c>
      <c r="L789" s="3">
        <v>3</v>
      </c>
      <c r="M789" s="4">
        <v>25</v>
      </c>
      <c r="N789">
        <f>L789 * M789</f>
        <v>75</v>
      </c>
      <c r="O789" s="15">
        <f>N789 *$R$3</f>
        <v>1.125</v>
      </c>
    </row>
    <row r="790" spans="1:15" ht="15.75">
      <c r="A790" s="3">
        <v>51</v>
      </c>
      <c r="B790">
        <f>DAY(F790)</f>
        <v>2</v>
      </c>
      <c r="C790" t="str">
        <f>TEXT(F790, "mmmm")</f>
        <v>October</v>
      </c>
      <c r="D790" s="3">
        <f>MONTH(F790)</f>
        <v>10</v>
      </c>
      <c r="E790" s="3">
        <f>YEAR(F790)</f>
        <v>2023</v>
      </c>
      <c r="F790" s="2">
        <v>45201</v>
      </c>
      <c r="G790" s="3" t="s">
        <v>66</v>
      </c>
      <c r="H790" s="3" t="s">
        <v>18</v>
      </c>
      <c r="I790" s="3">
        <v>27</v>
      </c>
      <c r="J790" s="3"/>
      <c r="K790" s="3" t="s">
        <v>19</v>
      </c>
      <c r="L790" s="3">
        <v>3</v>
      </c>
      <c r="M790" s="4">
        <v>25</v>
      </c>
      <c r="N790">
        <f>L790 * M790</f>
        <v>75</v>
      </c>
      <c r="O790" s="15">
        <f>N790 *$R$3</f>
        <v>1.125</v>
      </c>
    </row>
    <row r="791" spans="1:15" ht="15.75">
      <c r="A791" s="3">
        <v>108</v>
      </c>
      <c r="B791">
        <f>DAY(F791)</f>
        <v>19</v>
      </c>
      <c r="C791" t="str">
        <f>TEXT(F791, "mmmm")</f>
        <v>April</v>
      </c>
      <c r="D791" s="3">
        <f>MONTH(F791)</f>
        <v>4</v>
      </c>
      <c r="E791" s="3">
        <f>YEAR(F791)</f>
        <v>2023</v>
      </c>
      <c r="F791" s="2">
        <v>45035</v>
      </c>
      <c r="G791" s="3" t="s">
        <v>891</v>
      </c>
      <c r="H791" s="3" t="s">
        <v>198</v>
      </c>
      <c r="I791" s="3">
        <v>27</v>
      </c>
      <c r="J791" s="3"/>
      <c r="K791" s="3" t="s">
        <v>19</v>
      </c>
      <c r="L791" s="3">
        <v>3</v>
      </c>
      <c r="M791" s="4">
        <v>25</v>
      </c>
      <c r="N791">
        <f>L791 * M791</f>
        <v>75</v>
      </c>
      <c r="O791" s="15">
        <f>N791 *$R$3</f>
        <v>1.125</v>
      </c>
    </row>
    <row r="792" spans="1:15" ht="15.75">
      <c r="A792" s="3">
        <v>110</v>
      </c>
      <c r="B792">
        <f>DAY(F792)</f>
        <v>11</v>
      </c>
      <c r="C792" t="str">
        <f>TEXT(F792, "mmmm")</f>
        <v>June</v>
      </c>
      <c r="D792" s="3">
        <f>MONTH(F792)</f>
        <v>6</v>
      </c>
      <c r="E792" s="3">
        <f>YEAR(F792)</f>
        <v>2023</v>
      </c>
      <c r="F792" s="2">
        <v>45088</v>
      </c>
      <c r="G792" s="3" t="s">
        <v>892</v>
      </c>
      <c r="H792" s="3" t="s">
        <v>18</v>
      </c>
      <c r="I792" s="3">
        <v>27</v>
      </c>
      <c r="J792" s="3"/>
      <c r="K792" s="3" t="s">
        <v>195</v>
      </c>
      <c r="L792" s="3">
        <v>3</v>
      </c>
      <c r="M792" s="4">
        <v>300</v>
      </c>
      <c r="N792">
        <f>L792 * M792</f>
        <v>900</v>
      </c>
      <c r="O792" s="15">
        <f>N792 *$R$3</f>
        <v>13.5</v>
      </c>
    </row>
    <row r="793" spans="1:15" ht="15.75">
      <c r="A793" s="3">
        <v>200</v>
      </c>
      <c r="B793">
        <f>DAY(F793)</f>
        <v>1</v>
      </c>
      <c r="C793" t="str">
        <f>TEXT(F793, "mmmm")</f>
        <v>September</v>
      </c>
      <c r="D793" s="3">
        <f>MONTH(F793)</f>
        <v>9</v>
      </c>
      <c r="E793" s="3">
        <f>YEAR(F793)</f>
        <v>2023</v>
      </c>
      <c r="F793" s="2">
        <v>45170</v>
      </c>
      <c r="G793" s="3" t="s">
        <v>106</v>
      </c>
      <c r="H793" s="3" t="s">
        <v>18</v>
      </c>
      <c r="I793" s="3">
        <v>27</v>
      </c>
      <c r="J793" s="3"/>
      <c r="K793" s="3" t="s">
        <v>19</v>
      </c>
      <c r="L793" s="3">
        <v>3</v>
      </c>
      <c r="M793" s="4">
        <v>50</v>
      </c>
      <c r="N793">
        <f>L793 * M793</f>
        <v>150</v>
      </c>
      <c r="O793" s="15">
        <f>N793 *$R$3</f>
        <v>2.25</v>
      </c>
    </row>
    <row r="794" spans="1:15" ht="15.75">
      <c r="A794" s="3">
        <v>213</v>
      </c>
      <c r="B794">
        <f>DAY(F794)</f>
        <v>24</v>
      </c>
      <c r="C794" t="str">
        <f>TEXT(F794, "mmmm")</f>
        <v>July</v>
      </c>
      <c r="D794" s="3">
        <f>MONTH(F794)</f>
        <v>7</v>
      </c>
      <c r="E794" s="3">
        <f>YEAR(F794)</f>
        <v>2023</v>
      </c>
      <c r="F794" s="2">
        <v>45131</v>
      </c>
      <c r="G794" s="3" t="s">
        <v>159</v>
      </c>
      <c r="H794" s="3" t="s">
        <v>18</v>
      </c>
      <c r="I794" s="3">
        <v>27</v>
      </c>
      <c r="J794" s="3"/>
      <c r="K794" s="3" t="s">
        <v>19</v>
      </c>
      <c r="L794" s="3">
        <v>3</v>
      </c>
      <c r="M794" s="4">
        <v>500</v>
      </c>
      <c r="N794">
        <f>L794 * M794</f>
        <v>1500</v>
      </c>
      <c r="O794" s="15">
        <f>N794 *$R$3</f>
        <v>22.5</v>
      </c>
    </row>
    <row r="795" spans="1:15" ht="15.75">
      <c r="A795" s="3">
        <v>295</v>
      </c>
      <c r="B795">
        <f>DAY(F795)</f>
        <v>28</v>
      </c>
      <c r="C795" t="str">
        <f>TEXT(F795, "mmmm")</f>
        <v>July</v>
      </c>
      <c r="D795" s="3">
        <f>MONTH(F795)</f>
        <v>7</v>
      </c>
      <c r="E795" s="3">
        <f>YEAR(F795)</f>
        <v>2023</v>
      </c>
      <c r="F795" s="2">
        <v>45135</v>
      </c>
      <c r="G795" s="3" t="s">
        <v>893</v>
      </c>
      <c r="H795" s="3" t="s">
        <v>198</v>
      </c>
      <c r="I795" s="3">
        <v>27</v>
      </c>
      <c r="J795" s="3"/>
      <c r="K795" s="3" t="s">
        <v>19</v>
      </c>
      <c r="L795" s="3">
        <v>3</v>
      </c>
      <c r="M795" s="4">
        <v>300</v>
      </c>
      <c r="N795">
        <f>L795 * M795</f>
        <v>900</v>
      </c>
      <c r="O795" s="15">
        <f>N795 *$R$3</f>
        <v>13.5</v>
      </c>
    </row>
    <row r="796" spans="1:15" ht="15.75">
      <c r="A796" s="3">
        <v>298</v>
      </c>
      <c r="B796">
        <f>DAY(F796)</f>
        <v>20</v>
      </c>
      <c r="C796" t="str">
        <f>TEXT(F796, "mmmm")</f>
        <v>April</v>
      </c>
      <c r="D796" s="3">
        <f>MONTH(F796)</f>
        <v>4</v>
      </c>
      <c r="E796" s="3">
        <f>YEAR(F796)</f>
        <v>2023</v>
      </c>
      <c r="F796" s="2">
        <v>45036</v>
      </c>
      <c r="G796" s="3" t="s">
        <v>151</v>
      </c>
      <c r="H796" s="3" t="s">
        <v>18</v>
      </c>
      <c r="I796" s="3">
        <v>27</v>
      </c>
      <c r="J796" s="3"/>
      <c r="K796" s="3" t="s">
        <v>19</v>
      </c>
      <c r="L796" s="3">
        <v>4</v>
      </c>
      <c r="M796" s="4">
        <v>300</v>
      </c>
      <c r="N796">
        <f>L796 * M796</f>
        <v>1200</v>
      </c>
      <c r="O796" s="15">
        <f>N796 *$R$3</f>
        <v>18</v>
      </c>
    </row>
    <row r="797" spans="1:15" ht="15.75">
      <c r="A797" s="3">
        <v>392</v>
      </c>
      <c r="B797">
        <f>DAY(F797)</f>
        <v>8</v>
      </c>
      <c r="C797" t="str">
        <f>TEXT(F797, "mmmm")</f>
        <v>December</v>
      </c>
      <c r="D797" s="3">
        <f>MONTH(F797)</f>
        <v>12</v>
      </c>
      <c r="E797" s="3">
        <f>YEAR(F797)</f>
        <v>2023</v>
      </c>
      <c r="F797" s="2">
        <v>45268</v>
      </c>
      <c r="G797" s="3" t="s">
        <v>894</v>
      </c>
      <c r="H797" s="3" t="s">
        <v>18</v>
      </c>
      <c r="I797" s="3">
        <v>27</v>
      </c>
      <c r="J797" s="3"/>
      <c r="K797" s="3" t="s">
        <v>195</v>
      </c>
      <c r="L797" s="3">
        <v>2</v>
      </c>
      <c r="M797" s="4">
        <v>300</v>
      </c>
      <c r="N797">
        <f>L797 * M797</f>
        <v>600</v>
      </c>
      <c r="O797" s="15">
        <f>N797 *$R$3</f>
        <v>9</v>
      </c>
    </row>
    <row r="798" spans="1:15" ht="15.75">
      <c r="A798" s="3">
        <v>394</v>
      </c>
      <c r="B798">
        <f>DAY(F798)</f>
        <v>3</v>
      </c>
      <c r="C798" t="str">
        <f>TEXT(F798, "mmmm")</f>
        <v>June</v>
      </c>
      <c r="D798" s="3">
        <f>MONTH(F798)</f>
        <v>6</v>
      </c>
      <c r="E798" s="3">
        <f>YEAR(F798)</f>
        <v>2023</v>
      </c>
      <c r="F798" s="2">
        <v>45080</v>
      </c>
      <c r="G798" s="3" t="s">
        <v>895</v>
      </c>
      <c r="H798" s="3" t="s">
        <v>198</v>
      </c>
      <c r="I798" s="3">
        <v>27</v>
      </c>
      <c r="J798" s="3"/>
      <c r="K798" s="3" t="s">
        <v>195</v>
      </c>
      <c r="L798" s="3">
        <v>1</v>
      </c>
      <c r="M798" s="4">
        <v>500</v>
      </c>
      <c r="N798">
        <f>L798 * M798</f>
        <v>500</v>
      </c>
      <c r="O798" s="15">
        <f>N798 *$R$3</f>
        <v>7.5</v>
      </c>
    </row>
    <row r="799" spans="1:15" ht="15.75">
      <c r="A799" s="3">
        <v>423</v>
      </c>
      <c r="B799">
        <f>DAY(F799)</f>
        <v>8</v>
      </c>
      <c r="C799" t="str">
        <f>TEXT(F799, "mmmm")</f>
        <v>March</v>
      </c>
      <c r="D799" s="3">
        <f>MONTH(F799)</f>
        <v>3</v>
      </c>
      <c r="E799" s="3">
        <f>YEAR(F799)</f>
        <v>2023</v>
      </c>
      <c r="F799" s="2">
        <v>44993</v>
      </c>
      <c r="G799" s="3" t="s">
        <v>896</v>
      </c>
      <c r="H799" s="3" t="s">
        <v>198</v>
      </c>
      <c r="I799" s="3">
        <v>27</v>
      </c>
      <c r="J799" s="3"/>
      <c r="K799" s="3" t="s">
        <v>195</v>
      </c>
      <c r="L799" s="3">
        <v>1</v>
      </c>
      <c r="M799" s="4">
        <v>25</v>
      </c>
      <c r="N799">
        <f>L799 * M799</f>
        <v>25</v>
      </c>
      <c r="O799" s="15">
        <f>N799 *$R$3</f>
        <v>0.375</v>
      </c>
    </row>
    <row r="800" spans="1:15" ht="15.75">
      <c r="A800" s="3">
        <v>476</v>
      </c>
      <c r="B800">
        <f>DAY(F800)</f>
        <v>29</v>
      </c>
      <c r="C800" t="str">
        <f>TEXT(F800, "mmmm")</f>
        <v>August</v>
      </c>
      <c r="D800" s="3">
        <f>MONTH(F800)</f>
        <v>8</v>
      </c>
      <c r="E800" s="3">
        <f>YEAR(F800)</f>
        <v>2023</v>
      </c>
      <c r="F800" s="2">
        <v>45167</v>
      </c>
      <c r="G800" s="3" t="s">
        <v>897</v>
      </c>
      <c r="H800" s="3" t="s">
        <v>198</v>
      </c>
      <c r="I800" s="3">
        <v>27</v>
      </c>
      <c r="J800" s="3"/>
      <c r="K800" s="3" t="s">
        <v>195</v>
      </c>
      <c r="L800" s="3">
        <v>4</v>
      </c>
      <c r="M800" s="4">
        <v>500</v>
      </c>
      <c r="N800">
        <f>L800 * M800</f>
        <v>2000</v>
      </c>
      <c r="O800" s="15">
        <f>N800 *$R$3</f>
        <v>30</v>
      </c>
    </row>
    <row r="801" spans="1:15" ht="15.75">
      <c r="A801" s="3">
        <v>544</v>
      </c>
      <c r="B801">
        <f>DAY(F801)</f>
        <v>23</v>
      </c>
      <c r="C801" t="str">
        <f>TEXT(F801, "mmmm")</f>
        <v>December</v>
      </c>
      <c r="D801" s="3">
        <f>MONTH(F801)</f>
        <v>12</v>
      </c>
      <c r="E801" s="3">
        <f>YEAR(F801)</f>
        <v>2023</v>
      </c>
      <c r="F801" s="2">
        <v>45283</v>
      </c>
      <c r="G801" s="3" t="s">
        <v>898</v>
      </c>
      <c r="H801" s="3" t="s">
        <v>198</v>
      </c>
      <c r="I801" s="3">
        <v>27</v>
      </c>
      <c r="J801" s="3"/>
      <c r="K801" s="3" t="s">
        <v>196</v>
      </c>
      <c r="L801" s="3">
        <v>1</v>
      </c>
      <c r="M801" s="4">
        <v>25</v>
      </c>
      <c r="N801">
        <f>L801 * M801</f>
        <v>25</v>
      </c>
      <c r="O801" s="15">
        <f>N801 *$R$3</f>
        <v>0.375</v>
      </c>
    </row>
    <row r="802" spans="1:15" ht="15.75">
      <c r="A802" s="3">
        <v>545</v>
      </c>
      <c r="B802">
        <f>DAY(F802)</f>
        <v>1</v>
      </c>
      <c r="C802" t="str">
        <f>TEXT(F802, "mmmm")</f>
        <v>June</v>
      </c>
      <c r="D802" s="3">
        <f>MONTH(F802)</f>
        <v>6</v>
      </c>
      <c r="E802" s="3">
        <f>YEAR(F802)</f>
        <v>2023</v>
      </c>
      <c r="F802" s="2">
        <v>45078</v>
      </c>
      <c r="G802" s="3" t="s">
        <v>899</v>
      </c>
      <c r="H802" s="3" t="s">
        <v>18</v>
      </c>
      <c r="I802" s="3">
        <v>27</v>
      </c>
      <c r="J802" s="3"/>
      <c r="K802" s="3" t="s">
        <v>195</v>
      </c>
      <c r="L802" s="3">
        <v>2</v>
      </c>
      <c r="M802" s="4">
        <v>25</v>
      </c>
      <c r="N802">
        <f>L802 * M802</f>
        <v>50</v>
      </c>
      <c r="O802" s="15">
        <f>N802 *$R$3</f>
        <v>0.75</v>
      </c>
    </row>
    <row r="803" spans="1:15" ht="15.75">
      <c r="A803" s="3">
        <v>584</v>
      </c>
      <c r="B803">
        <f>DAY(F803)</f>
        <v>17</v>
      </c>
      <c r="C803" t="str">
        <f>TEXT(F803, "mmmm")</f>
        <v>February</v>
      </c>
      <c r="D803" s="3">
        <f>MONTH(F803)</f>
        <v>2</v>
      </c>
      <c r="E803" s="3">
        <f>YEAR(F803)</f>
        <v>2023</v>
      </c>
      <c r="F803" s="2">
        <v>44974</v>
      </c>
      <c r="G803" s="3" t="s">
        <v>900</v>
      </c>
      <c r="H803" s="3" t="s">
        <v>198</v>
      </c>
      <c r="I803" s="3">
        <v>27</v>
      </c>
      <c r="J803" s="3"/>
      <c r="K803" s="3" t="s">
        <v>19</v>
      </c>
      <c r="L803" s="3">
        <v>4</v>
      </c>
      <c r="M803" s="4">
        <v>50</v>
      </c>
      <c r="N803">
        <f>L803 * M803</f>
        <v>200</v>
      </c>
      <c r="O803" s="15">
        <f>N803 *$R$3</f>
        <v>3</v>
      </c>
    </row>
    <row r="804" spans="1:15" ht="15.75">
      <c r="A804" s="3">
        <v>618</v>
      </c>
      <c r="B804">
        <f>DAY(F804)</f>
        <v>26</v>
      </c>
      <c r="C804" t="str">
        <f>TEXT(F804, "mmmm")</f>
        <v>January</v>
      </c>
      <c r="D804" s="3">
        <f>MONTH(F804)</f>
        <v>1</v>
      </c>
      <c r="E804" s="3">
        <f>YEAR(F804)</f>
        <v>2023</v>
      </c>
      <c r="F804" s="2">
        <v>44952</v>
      </c>
      <c r="G804" s="3" t="s">
        <v>901</v>
      </c>
      <c r="H804" s="3" t="s">
        <v>198</v>
      </c>
      <c r="I804" s="3">
        <v>27</v>
      </c>
      <c r="J804" s="3"/>
      <c r="K804" s="3" t="s">
        <v>19</v>
      </c>
      <c r="L804" s="3">
        <v>1</v>
      </c>
      <c r="M804" s="4">
        <v>50</v>
      </c>
      <c r="N804">
        <f>L804 * M804</f>
        <v>50</v>
      </c>
      <c r="O804" s="15">
        <f>N804 *$R$3</f>
        <v>0.75</v>
      </c>
    </row>
    <row r="805" spans="1:15" ht="15.75">
      <c r="A805" s="3">
        <v>670</v>
      </c>
      <c r="B805">
        <f>DAY(F805)</f>
        <v>5</v>
      </c>
      <c r="C805" t="str">
        <f>TEXT(F805, "mmmm")</f>
        <v>October</v>
      </c>
      <c r="D805" s="3">
        <f>MONTH(F805)</f>
        <v>10</v>
      </c>
      <c r="E805" s="3">
        <f>YEAR(F805)</f>
        <v>2023</v>
      </c>
      <c r="F805" s="2">
        <v>45204</v>
      </c>
      <c r="G805" s="3" t="s">
        <v>41</v>
      </c>
      <c r="H805" s="3" t="s">
        <v>18</v>
      </c>
      <c r="I805" s="3">
        <v>27</v>
      </c>
      <c r="J805" s="3"/>
      <c r="K805" s="3" t="s">
        <v>19</v>
      </c>
      <c r="L805" s="3">
        <v>1</v>
      </c>
      <c r="M805" s="4">
        <v>30</v>
      </c>
      <c r="N805">
        <f>L805 * M805</f>
        <v>30</v>
      </c>
      <c r="O805" s="15">
        <f>N805 *$R$3</f>
        <v>0.44999999999999996</v>
      </c>
    </row>
    <row r="806" spans="1:15" ht="15.75">
      <c r="A806" s="3">
        <v>734</v>
      </c>
      <c r="B806">
        <f>DAY(F806)</f>
        <v>10</v>
      </c>
      <c r="C806" t="str">
        <f>TEXT(F806, "mmmm")</f>
        <v>January</v>
      </c>
      <c r="D806" s="3">
        <f>MONTH(F806)</f>
        <v>1</v>
      </c>
      <c r="E806" s="3">
        <f>YEAR(F806)</f>
        <v>2023</v>
      </c>
      <c r="F806" s="2">
        <v>44936</v>
      </c>
      <c r="G806" s="3" t="s">
        <v>902</v>
      </c>
      <c r="H806" s="3" t="s">
        <v>198</v>
      </c>
      <c r="I806" s="3">
        <v>27</v>
      </c>
      <c r="J806" s="3"/>
      <c r="K806" s="3" t="s">
        <v>195</v>
      </c>
      <c r="L806" s="3">
        <v>1</v>
      </c>
      <c r="M806" s="4">
        <v>30</v>
      </c>
      <c r="N806">
        <f>L806 * M806</f>
        <v>30</v>
      </c>
      <c r="O806" s="15">
        <f>N806 *$R$3</f>
        <v>0.44999999999999996</v>
      </c>
    </row>
    <row r="807" spans="1:15" ht="15.75">
      <c r="A807" s="3">
        <v>760</v>
      </c>
      <c r="B807">
        <f>DAY(F807)</f>
        <v>27</v>
      </c>
      <c r="C807" t="str">
        <f>TEXT(F807, "mmmm")</f>
        <v>March</v>
      </c>
      <c r="D807" s="3">
        <f>MONTH(F807)</f>
        <v>3</v>
      </c>
      <c r="E807" s="3">
        <f>YEAR(F807)</f>
        <v>2023</v>
      </c>
      <c r="F807" s="2">
        <v>45012</v>
      </c>
      <c r="G807" s="3" t="s">
        <v>122</v>
      </c>
      <c r="H807" s="3" t="s">
        <v>18</v>
      </c>
      <c r="I807" s="3">
        <v>27</v>
      </c>
      <c r="J807" s="3"/>
      <c r="K807" s="3" t="s">
        <v>19</v>
      </c>
      <c r="L807" s="3">
        <v>1</v>
      </c>
      <c r="M807" s="4">
        <v>500</v>
      </c>
      <c r="N807">
        <f>L807 * M807</f>
        <v>500</v>
      </c>
      <c r="O807" s="15">
        <f>N807 *$R$3</f>
        <v>7.5</v>
      </c>
    </row>
    <row r="808" spans="1:15" ht="15.75">
      <c r="A808" s="3">
        <v>831</v>
      </c>
      <c r="B808">
        <f>DAY(F808)</f>
        <v>15</v>
      </c>
      <c r="C808" t="str">
        <f>TEXT(F808, "mmmm")</f>
        <v>January</v>
      </c>
      <c r="D808" s="3">
        <f>MONTH(F808)</f>
        <v>1</v>
      </c>
      <c r="E808" s="3">
        <f>YEAR(F808)</f>
        <v>2023</v>
      </c>
      <c r="F808" s="2">
        <v>44941</v>
      </c>
      <c r="G808" s="3" t="s">
        <v>903</v>
      </c>
      <c r="H808" s="3" t="s">
        <v>18</v>
      </c>
      <c r="I808" s="3">
        <v>27</v>
      </c>
      <c r="J808" s="3"/>
      <c r="K808" s="3" t="s">
        <v>196</v>
      </c>
      <c r="L808" s="3">
        <v>4</v>
      </c>
      <c r="M808" s="4">
        <v>25</v>
      </c>
      <c r="N808">
        <f>L808 * M808</f>
        <v>100</v>
      </c>
      <c r="O808" s="15">
        <f>N808 *$R$3</f>
        <v>1.5</v>
      </c>
    </row>
    <row r="809" spans="1:15" ht="15.75">
      <c r="A809" s="3">
        <v>873</v>
      </c>
      <c r="B809">
        <f>DAY(F809)</f>
        <v>29</v>
      </c>
      <c r="C809" t="str">
        <f>TEXT(F809, "mmmm")</f>
        <v>September</v>
      </c>
      <c r="D809" s="3">
        <f>MONTH(F809)</f>
        <v>9</v>
      </c>
      <c r="E809" s="3">
        <f>YEAR(F809)</f>
        <v>2023</v>
      </c>
      <c r="F809" s="2">
        <v>45198</v>
      </c>
      <c r="G809" s="3" t="s">
        <v>904</v>
      </c>
      <c r="H809" s="3" t="s">
        <v>198</v>
      </c>
      <c r="I809" s="3">
        <v>27</v>
      </c>
      <c r="J809" s="3"/>
      <c r="K809" s="3" t="s">
        <v>196</v>
      </c>
      <c r="L809" s="3">
        <v>4</v>
      </c>
      <c r="M809" s="4">
        <v>25</v>
      </c>
      <c r="N809">
        <f>L809 * M809</f>
        <v>100</v>
      </c>
      <c r="O809" s="15">
        <f>N809 *$R$3</f>
        <v>1.5</v>
      </c>
    </row>
    <row r="810" spans="1:15" ht="15.75">
      <c r="A810" s="3">
        <v>971</v>
      </c>
      <c r="B810">
        <f>DAY(F810)</f>
        <v>5</v>
      </c>
      <c r="C810" t="str">
        <f>TEXT(F810, "mmmm")</f>
        <v>December</v>
      </c>
      <c r="D810" s="3">
        <f>MONTH(F810)</f>
        <v>12</v>
      </c>
      <c r="E810" s="3">
        <f>YEAR(F810)</f>
        <v>2023</v>
      </c>
      <c r="F810" s="2">
        <v>45265</v>
      </c>
      <c r="G810" s="3" t="s">
        <v>905</v>
      </c>
      <c r="H810" s="3" t="s">
        <v>198</v>
      </c>
      <c r="I810" s="3">
        <v>27</v>
      </c>
      <c r="J810" s="3"/>
      <c r="K810" s="3" t="s">
        <v>196</v>
      </c>
      <c r="L810" s="3">
        <v>4</v>
      </c>
      <c r="M810" s="4">
        <v>50</v>
      </c>
      <c r="N810">
        <f>L810 * M810</f>
        <v>200</v>
      </c>
      <c r="O810" s="15">
        <f>N810 *$R$3</f>
        <v>3</v>
      </c>
    </row>
    <row r="811" spans="1:15" ht="15.75">
      <c r="A811" s="3">
        <v>2</v>
      </c>
      <c r="B811">
        <f>DAY(F811)</f>
        <v>27</v>
      </c>
      <c r="C811" t="str">
        <f>TEXT(F811, "mmmm")</f>
        <v>February</v>
      </c>
      <c r="D811" s="3">
        <f>MONTH(F811)</f>
        <v>2</v>
      </c>
      <c r="E811" s="3">
        <f>YEAR(F811)</f>
        <v>2023</v>
      </c>
      <c r="F811" s="2">
        <v>44984</v>
      </c>
      <c r="G811" s="3" t="s">
        <v>906</v>
      </c>
      <c r="H811" s="3" t="s">
        <v>198</v>
      </c>
      <c r="I811" s="3">
        <v>26</v>
      </c>
      <c r="J811" s="3" t="str" cm="1">
        <f t="array" ref="J811">_xlfn.IFS(J810&lt;=30,"Young Adult",AND(J810&gt;30, J810&lt;50),"Adult",J810&gt;=50,"Senior")</f>
        <v>Young Adult</v>
      </c>
      <c r="K811" s="3" t="s">
        <v>195</v>
      </c>
      <c r="L811" s="3">
        <v>2</v>
      </c>
      <c r="M811" s="4">
        <v>500</v>
      </c>
      <c r="N811">
        <f>L811 * M811</f>
        <v>1000</v>
      </c>
      <c r="O811" s="15">
        <f>N811 *$R$3</f>
        <v>15</v>
      </c>
    </row>
    <row r="812" spans="1:15" ht="15.75">
      <c r="A812" s="3">
        <v>56</v>
      </c>
      <c r="B812">
        <f>DAY(F812)</f>
        <v>31</v>
      </c>
      <c r="C812" t="str">
        <f>TEXT(F812, "mmmm")</f>
        <v>May</v>
      </c>
      <c r="D812" s="3">
        <f>MONTH(F812)</f>
        <v>5</v>
      </c>
      <c r="E812" s="3">
        <f>YEAR(F812)</f>
        <v>2023</v>
      </c>
      <c r="F812" s="2">
        <v>45077</v>
      </c>
      <c r="G812" s="3" t="s">
        <v>907</v>
      </c>
      <c r="H812" s="3" t="s">
        <v>198</v>
      </c>
      <c r="I812" s="3">
        <v>26</v>
      </c>
      <c r="J812" s="3"/>
      <c r="K812" s="3" t="s">
        <v>195</v>
      </c>
      <c r="L812" s="3">
        <v>3</v>
      </c>
      <c r="M812" s="4">
        <v>300</v>
      </c>
      <c r="N812">
        <f>L812 * M812</f>
        <v>900</v>
      </c>
      <c r="O812" s="15">
        <f>N812 *$R$3</f>
        <v>13.5</v>
      </c>
    </row>
    <row r="813" spans="1:15" ht="15.75">
      <c r="A813" s="3">
        <v>159</v>
      </c>
      <c r="B813">
        <f>DAY(F813)</f>
        <v>31</v>
      </c>
      <c r="C813" t="str">
        <f>TEXT(F813, "mmmm")</f>
        <v>May</v>
      </c>
      <c r="D813" s="3">
        <f>MONTH(F813)</f>
        <v>5</v>
      </c>
      <c r="E813" s="3">
        <f>YEAR(F813)</f>
        <v>2023</v>
      </c>
      <c r="F813" s="2">
        <v>45077</v>
      </c>
      <c r="G813" s="3" t="s">
        <v>908</v>
      </c>
      <c r="H813" s="3" t="s">
        <v>18</v>
      </c>
      <c r="I813" s="3">
        <v>26</v>
      </c>
      <c r="J813" s="3"/>
      <c r="K813" s="3" t="s">
        <v>195</v>
      </c>
      <c r="L813" s="3">
        <v>4</v>
      </c>
      <c r="M813" s="4">
        <v>50</v>
      </c>
      <c r="N813">
        <f>L813 * M813</f>
        <v>200</v>
      </c>
      <c r="O813" s="15">
        <f>N813 *$R$3</f>
        <v>3</v>
      </c>
    </row>
    <row r="814" spans="1:15" ht="15.75">
      <c r="A814" s="3">
        <v>248</v>
      </c>
      <c r="B814">
        <f>DAY(F814)</f>
        <v>9</v>
      </c>
      <c r="C814" t="str">
        <f>TEXT(F814, "mmmm")</f>
        <v>March</v>
      </c>
      <c r="D814" s="3">
        <f>MONTH(F814)</f>
        <v>3</v>
      </c>
      <c r="E814" s="3">
        <f>YEAR(F814)</f>
        <v>2023</v>
      </c>
      <c r="F814" s="2">
        <v>44994</v>
      </c>
      <c r="G814" s="3" t="s">
        <v>909</v>
      </c>
      <c r="H814" s="3" t="s">
        <v>18</v>
      </c>
      <c r="I814" s="3">
        <v>26</v>
      </c>
      <c r="J814" s="3"/>
      <c r="K814" s="3" t="s">
        <v>195</v>
      </c>
      <c r="L814" s="3">
        <v>3</v>
      </c>
      <c r="M814" s="4">
        <v>300</v>
      </c>
      <c r="N814">
        <f>L814 * M814</f>
        <v>900</v>
      </c>
      <c r="O814" s="15">
        <f>N814 *$R$3</f>
        <v>13.5</v>
      </c>
    </row>
    <row r="815" spans="1:15" ht="15.75">
      <c r="A815" s="3">
        <v>307</v>
      </c>
      <c r="B815">
        <f>DAY(F815)</f>
        <v>27</v>
      </c>
      <c r="C815" t="str">
        <f>TEXT(F815, "mmmm")</f>
        <v>May</v>
      </c>
      <c r="D815" s="3">
        <f>MONTH(F815)</f>
        <v>5</v>
      </c>
      <c r="E815" s="3">
        <f>YEAR(F815)</f>
        <v>2023</v>
      </c>
      <c r="F815" s="2">
        <v>45073</v>
      </c>
      <c r="G815" s="3" t="s">
        <v>910</v>
      </c>
      <c r="H815" s="3" t="s">
        <v>198</v>
      </c>
      <c r="I815" s="3">
        <v>26</v>
      </c>
      <c r="J815" s="3"/>
      <c r="K815" s="3" t="s">
        <v>196</v>
      </c>
      <c r="L815" s="3">
        <v>2</v>
      </c>
      <c r="M815" s="4">
        <v>25</v>
      </c>
      <c r="N815">
        <f>L815 * M815</f>
        <v>50</v>
      </c>
      <c r="O815" s="15">
        <f>N815 *$R$3</f>
        <v>0.75</v>
      </c>
    </row>
    <row r="816" spans="1:15" ht="15.75">
      <c r="A816" s="3">
        <v>309</v>
      </c>
      <c r="B816">
        <f>DAY(F816)</f>
        <v>23</v>
      </c>
      <c r="C816" t="str">
        <f>TEXT(F816, "mmmm")</f>
        <v>December</v>
      </c>
      <c r="D816" s="3">
        <f>MONTH(F816)</f>
        <v>12</v>
      </c>
      <c r="E816" s="3">
        <f>YEAR(F816)</f>
        <v>2023</v>
      </c>
      <c r="F816" s="2">
        <v>45283</v>
      </c>
      <c r="G816" s="3" t="s">
        <v>911</v>
      </c>
      <c r="H816" s="3" t="s">
        <v>198</v>
      </c>
      <c r="I816" s="3">
        <v>26</v>
      </c>
      <c r="J816" s="3"/>
      <c r="K816" s="3" t="s">
        <v>19</v>
      </c>
      <c r="L816" s="3">
        <v>1</v>
      </c>
      <c r="M816" s="4">
        <v>25</v>
      </c>
      <c r="N816">
        <f>L816 * M816</f>
        <v>25</v>
      </c>
      <c r="O816" s="15">
        <f>N816 *$R$3</f>
        <v>0.375</v>
      </c>
    </row>
    <row r="817" spans="1:15" ht="15.75">
      <c r="A817" s="3">
        <v>321</v>
      </c>
      <c r="B817">
        <f>DAY(F817)</f>
        <v>10</v>
      </c>
      <c r="C817" t="str">
        <f>TEXT(F817, "mmmm")</f>
        <v>June</v>
      </c>
      <c r="D817" s="3">
        <f>MONTH(F817)</f>
        <v>6</v>
      </c>
      <c r="E817" s="3">
        <f>YEAR(F817)</f>
        <v>2023</v>
      </c>
      <c r="F817" s="2">
        <v>45087</v>
      </c>
      <c r="G817" s="3" t="s">
        <v>912</v>
      </c>
      <c r="H817" s="3" t="s">
        <v>198</v>
      </c>
      <c r="I817" s="3">
        <v>26</v>
      </c>
      <c r="J817" s="3"/>
      <c r="K817" s="3" t="s">
        <v>196</v>
      </c>
      <c r="L817" s="3">
        <v>2</v>
      </c>
      <c r="M817" s="4">
        <v>25</v>
      </c>
      <c r="N817">
        <f>L817 * M817</f>
        <v>50</v>
      </c>
      <c r="O817" s="15">
        <f>N817 *$R$3</f>
        <v>0.75</v>
      </c>
    </row>
    <row r="818" spans="1:15" ht="15.75">
      <c r="A818" s="3">
        <v>453</v>
      </c>
      <c r="B818">
        <f>DAY(F818)</f>
        <v>8</v>
      </c>
      <c r="C818" t="str">
        <f>TEXT(F818, "mmmm")</f>
        <v>December</v>
      </c>
      <c r="D818" s="3">
        <f>MONTH(F818)</f>
        <v>12</v>
      </c>
      <c r="E818" s="3">
        <f>YEAR(F818)</f>
        <v>2023</v>
      </c>
      <c r="F818" s="2">
        <v>45268</v>
      </c>
      <c r="G818" s="3" t="s">
        <v>913</v>
      </c>
      <c r="H818" s="3" t="s">
        <v>198</v>
      </c>
      <c r="I818" s="3">
        <v>26</v>
      </c>
      <c r="J818" s="3"/>
      <c r="K818" s="3" t="s">
        <v>195</v>
      </c>
      <c r="L818" s="3">
        <v>2</v>
      </c>
      <c r="M818" s="4">
        <v>500</v>
      </c>
      <c r="N818">
        <f>L818 * M818</f>
        <v>1000</v>
      </c>
      <c r="O818" s="15">
        <f>N818 *$R$3</f>
        <v>15</v>
      </c>
    </row>
    <row r="819" spans="1:15" ht="15.75">
      <c r="A819" s="3">
        <v>474</v>
      </c>
      <c r="B819">
        <f>DAY(F819)</f>
        <v>15</v>
      </c>
      <c r="C819" t="str">
        <f>TEXT(F819, "mmmm")</f>
        <v>July</v>
      </c>
      <c r="D819" s="3">
        <f>MONTH(F819)</f>
        <v>7</v>
      </c>
      <c r="E819" s="3">
        <f>YEAR(F819)</f>
        <v>2023</v>
      </c>
      <c r="F819" s="2">
        <v>45122</v>
      </c>
      <c r="G819" s="3" t="s">
        <v>914</v>
      </c>
      <c r="H819" s="3" t="s">
        <v>198</v>
      </c>
      <c r="I819" s="3">
        <v>26</v>
      </c>
      <c r="J819" s="3"/>
      <c r="K819" s="3" t="s">
        <v>195</v>
      </c>
      <c r="L819" s="3">
        <v>3</v>
      </c>
      <c r="M819" s="4">
        <v>500</v>
      </c>
      <c r="N819">
        <f>L819 * M819</f>
        <v>1500</v>
      </c>
      <c r="O819" s="15">
        <f>N819 *$R$3</f>
        <v>22.5</v>
      </c>
    </row>
    <row r="820" spans="1:15" ht="15.75">
      <c r="A820" s="3">
        <v>475</v>
      </c>
      <c r="B820">
        <f>DAY(F820)</f>
        <v>20</v>
      </c>
      <c r="C820" t="str">
        <f>TEXT(F820, "mmmm")</f>
        <v>January</v>
      </c>
      <c r="D820" s="3">
        <f>MONTH(F820)</f>
        <v>1</v>
      </c>
      <c r="E820" s="3">
        <f>YEAR(F820)</f>
        <v>2023</v>
      </c>
      <c r="F820" s="2">
        <v>44946</v>
      </c>
      <c r="G820" s="3" t="s">
        <v>915</v>
      </c>
      <c r="H820" s="3" t="s">
        <v>18</v>
      </c>
      <c r="I820" s="3">
        <v>26</v>
      </c>
      <c r="J820" s="3"/>
      <c r="K820" s="3" t="s">
        <v>195</v>
      </c>
      <c r="L820" s="3">
        <v>3</v>
      </c>
      <c r="M820" s="4">
        <v>25</v>
      </c>
      <c r="N820">
        <f>L820 * M820</f>
        <v>75</v>
      </c>
      <c r="O820" s="15">
        <f>N820 *$R$3</f>
        <v>1.125</v>
      </c>
    </row>
    <row r="821" spans="1:15" ht="15.75">
      <c r="A821" s="3">
        <v>610</v>
      </c>
      <c r="B821">
        <f>DAY(F821)</f>
        <v>3</v>
      </c>
      <c r="C821" t="str">
        <f>TEXT(F821, "mmmm")</f>
        <v>January</v>
      </c>
      <c r="D821" s="3">
        <f>MONTH(F821)</f>
        <v>1</v>
      </c>
      <c r="E821" s="3">
        <f>YEAR(F821)</f>
        <v>2023</v>
      </c>
      <c r="F821" s="2">
        <v>44929</v>
      </c>
      <c r="G821" s="3" t="s">
        <v>916</v>
      </c>
      <c r="H821" s="3" t="s">
        <v>198</v>
      </c>
      <c r="I821" s="3">
        <v>26</v>
      </c>
      <c r="J821" s="3"/>
      <c r="K821" s="3" t="s">
        <v>19</v>
      </c>
      <c r="L821" s="3">
        <v>2</v>
      </c>
      <c r="M821" s="4">
        <v>300</v>
      </c>
      <c r="N821">
        <f>L821 * M821</f>
        <v>600</v>
      </c>
      <c r="O821" s="15">
        <f>N821 *$R$3</f>
        <v>9</v>
      </c>
    </row>
    <row r="822" spans="1:15" ht="15.75">
      <c r="A822" s="3">
        <v>626</v>
      </c>
      <c r="B822">
        <f>DAY(F822)</f>
        <v>29</v>
      </c>
      <c r="C822" t="str">
        <f>TEXT(F822, "mmmm")</f>
        <v>September</v>
      </c>
      <c r="D822" s="3">
        <f>MONTH(F822)</f>
        <v>9</v>
      </c>
      <c r="E822" s="3">
        <f>YEAR(F822)</f>
        <v>2023</v>
      </c>
      <c r="F822" s="2">
        <v>45198</v>
      </c>
      <c r="G822" s="3" t="s">
        <v>917</v>
      </c>
      <c r="H822" s="3" t="s">
        <v>198</v>
      </c>
      <c r="I822" s="3">
        <v>26</v>
      </c>
      <c r="J822" s="3"/>
      <c r="K822" s="3" t="s">
        <v>195</v>
      </c>
      <c r="L822" s="3">
        <v>4</v>
      </c>
      <c r="M822" s="4">
        <v>500</v>
      </c>
      <c r="N822">
        <f>L822 * M822</f>
        <v>2000</v>
      </c>
      <c r="O822" s="15">
        <f>N822 *$R$3</f>
        <v>30</v>
      </c>
    </row>
    <row r="823" spans="1:15" ht="15.75">
      <c r="A823" s="3">
        <v>632</v>
      </c>
      <c r="B823">
        <f>DAY(F823)</f>
        <v>16</v>
      </c>
      <c r="C823" t="str">
        <f>TEXT(F823, "mmmm")</f>
        <v>September</v>
      </c>
      <c r="D823" s="3">
        <f>MONTH(F823)</f>
        <v>9</v>
      </c>
      <c r="E823" s="3">
        <f>YEAR(F823)</f>
        <v>2023</v>
      </c>
      <c r="F823" s="2">
        <v>45185</v>
      </c>
      <c r="G823" s="3" t="s">
        <v>918</v>
      </c>
      <c r="H823" s="3" t="s">
        <v>198</v>
      </c>
      <c r="I823" s="3">
        <v>26</v>
      </c>
      <c r="J823" s="3"/>
      <c r="K823" s="3" t="s">
        <v>196</v>
      </c>
      <c r="L823" s="3">
        <v>4</v>
      </c>
      <c r="M823" s="4">
        <v>25</v>
      </c>
      <c r="N823">
        <f>L823 * M823</f>
        <v>100</v>
      </c>
      <c r="O823" s="15">
        <f>N823 *$R$3</f>
        <v>1.5</v>
      </c>
    </row>
    <row r="824" spans="1:15" ht="15.75">
      <c r="A824" s="3">
        <v>707</v>
      </c>
      <c r="B824">
        <f>DAY(F824)</f>
        <v>1</v>
      </c>
      <c r="C824" t="str">
        <f>TEXT(F824, "mmmm")</f>
        <v>October</v>
      </c>
      <c r="D824" s="3">
        <f>MONTH(F824)</f>
        <v>10</v>
      </c>
      <c r="E824" s="3">
        <f>YEAR(F824)</f>
        <v>2023</v>
      </c>
      <c r="F824" s="2">
        <v>45200</v>
      </c>
      <c r="G824" s="3" t="s">
        <v>919</v>
      </c>
      <c r="H824" s="3" t="s">
        <v>198</v>
      </c>
      <c r="I824" s="3">
        <v>26</v>
      </c>
      <c r="J824" s="3"/>
      <c r="K824" s="3" t="s">
        <v>195</v>
      </c>
      <c r="L824" s="3">
        <v>1</v>
      </c>
      <c r="M824" s="4">
        <v>500</v>
      </c>
      <c r="N824">
        <f>L824 * M824</f>
        <v>500</v>
      </c>
      <c r="O824" s="15">
        <f>N824 *$R$3</f>
        <v>7.5</v>
      </c>
    </row>
    <row r="825" spans="1:15" ht="15.75">
      <c r="A825" s="3">
        <v>710</v>
      </c>
      <c r="B825">
        <f>DAY(F825)</f>
        <v>31</v>
      </c>
      <c r="C825" t="str">
        <f>TEXT(F825, "mmmm")</f>
        <v>October</v>
      </c>
      <c r="D825" s="3">
        <f>MONTH(F825)</f>
        <v>10</v>
      </c>
      <c r="E825" s="3">
        <f>YEAR(F825)</f>
        <v>2023</v>
      </c>
      <c r="F825" s="2">
        <v>45230</v>
      </c>
      <c r="G825" s="3" t="s">
        <v>920</v>
      </c>
      <c r="H825" s="3" t="s">
        <v>198</v>
      </c>
      <c r="I825" s="3">
        <v>26</v>
      </c>
      <c r="J825" s="3"/>
      <c r="K825" s="3" t="s">
        <v>196</v>
      </c>
      <c r="L825" s="3">
        <v>3</v>
      </c>
      <c r="M825" s="4">
        <v>500</v>
      </c>
      <c r="N825">
        <f>L825 * M825</f>
        <v>1500</v>
      </c>
      <c r="O825" s="15">
        <f>N825 *$R$3</f>
        <v>22.5</v>
      </c>
    </row>
    <row r="826" spans="1:15" ht="15.75">
      <c r="A826" s="3">
        <v>711</v>
      </c>
      <c r="B826">
        <f>DAY(F826)</f>
        <v>16</v>
      </c>
      <c r="C826" t="str">
        <f>TEXT(F826, "mmmm")</f>
        <v>October</v>
      </c>
      <c r="D826" s="3">
        <f>MONTH(F826)</f>
        <v>10</v>
      </c>
      <c r="E826" s="3">
        <f>YEAR(F826)</f>
        <v>2023</v>
      </c>
      <c r="F826" s="2">
        <v>45215</v>
      </c>
      <c r="G826" s="3" t="s">
        <v>921</v>
      </c>
      <c r="H826" s="3" t="s">
        <v>18</v>
      </c>
      <c r="I826" s="3">
        <v>26</v>
      </c>
      <c r="J826" s="3"/>
      <c r="K826" s="3" t="s">
        <v>196</v>
      </c>
      <c r="L826" s="3">
        <v>3</v>
      </c>
      <c r="M826" s="4">
        <v>500</v>
      </c>
      <c r="N826">
        <f>L826 * M826</f>
        <v>1500</v>
      </c>
      <c r="O826" s="15">
        <f>N826 *$R$3</f>
        <v>22.5</v>
      </c>
    </row>
    <row r="827" spans="1:15" ht="15.75">
      <c r="A827" s="3">
        <v>772</v>
      </c>
      <c r="B827">
        <f>DAY(F827)</f>
        <v>12</v>
      </c>
      <c r="C827" t="str">
        <f>TEXT(F827, "mmmm")</f>
        <v>July</v>
      </c>
      <c r="D827" s="3">
        <f>MONTH(F827)</f>
        <v>7</v>
      </c>
      <c r="E827" s="3">
        <f>YEAR(F827)</f>
        <v>2023</v>
      </c>
      <c r="F827" s="2">
        <v>45119</v>
      </c>
      <c r="G827" s="3" t="s">
        <v>922</v>
      </c>
      <c r="H827" s="3" t="s">
        <v>18</v>
      </c>
      <c r="I827" s="3">
        <v>26</v>
      </c>
      <c r="J827" s="3"/>
      <c r="K827" s="3" t="s">
        <v>196</v>
      </c>
      <c r="L827" s="3">
        <v>1</v>
      </c>
      <c r="M827" s="4">
        <v>30</v>
      </c>
      <c r="N827">
        <f>L827 * M827</f>
        <v>30</v>
      </c>
      <c r="O827" s="15">
        <f>N827 *$R$3</f>
        <v>0.44999999999999996</v>
      </c>
    </row>
    <row r="828" spans="1:15" ht="15.75">
      <c r="A828" s="3">
        <v>850</v>
      </c>
      <c r="B828">
        <f>DAY(F828)</f>
        <v>28</v>
      </c>
      <c r="C828" t="str">
        <f>TEXT(F828, "mmmm")</f>
        <v>July</v>
      </c>
      <c r="D828" s="3">
        <f>MONTH(F828)</f>
        <v>7</v>
      </c>
      <c r="E828" s="3">
        <f>YEAR(F828)</f>
        <v>2023</v>
      </c>
      <c r="F828" s="2">
        <v>45135</v>
      </c>
      <c r="G828" s="3" t="s">
        <v>923</v>
      </c>
      <c r="H828" s="3" t="s">
        <v>198</v>
      </c>
      <c r="I828" s="3">
        <v>26</v>
      </c>
      <c r="J828" s="3"/>
      <c r="K828" s="3" t="s">
        <v>19</v>
      </c>
      <c r="L828" s="3">
        <v>2</v>
      </c>
      <c r="M828" s="4">
        <v>500</v>
      </c>
      <c r="N828">
        <f>L828 * M828</f>
        <v>1000</v>
      </c>
      <c r="O828" s="15">
        <f>N828 *$R$3</f>
        <v>15</v>
      </c>
    </row>
    <row r="829" spans="1:15" ht="15.75">
      <c r="A829" s="3">
        <v>884</v>
      </c>
      <c r="B829">
        <f>DAY(F829)</f>
        <v>29</v>
      </c>
      <c r="C829" t="str">
        <f>TEXT(F829, "mmmm")</f>
        <v>April</v>
      </c>
      <c r="D829" s="3">
        <f>MONTH(F829)</f>
        <v>4</v>
      </c>
      <c r="E829" s="3">
        <f>YEAR(F829)</f>
        <v>2023</v>
      </c>
      <c r="F829" s="2">
        <v>45045</v>
      </c>
      <c r="G829" s="3" t="s">
        <v>924</v>
      </c>
      <c r="H829" s="3" t="s">
        <v>198</v>
      </c>
      <c r="I829" s="3">
        <v>26</v>
      </c>
      <c r="J829" s="3"/>
      <c r="K829" s="3" t="s">
        <v>195</v>
      </c>
      <c r="L829" s="3">
        <v>2</v>
      </c>
      <c r="M829" s="4">
        <v>30</v>
      </c>
      <c r="N829">
        <f>L829 * M829</f>
        <v>60</v>
      </c>
      <c r="O829" s="15">
        <f>N829 *$R$3</f>
        <v>0.89999999999999991</v>
      </c>
    </row>
    <row r="830" spans="1:15" ht="15.75">
      <c r="A830" s="3">
        <v>899</v>
      </c>
      <c r="B830">
        <f>DAY(F830)</f>
        <v>25</v>
      </c>
      <c r="C830" t="str">
        <f>TEXT(F830, "mmmm")</f>
        <v>May</v>
      </c>
      <c r="D830" s="3">
        <f>MONTH(F830)</f>
        <v>5</v>
      </c>
      <c r="E830" s="3">
        <f>YEAR(F830)</f>
        <v>2023</v>
      </c>
      <c r="F830" s="2">
        <v>45071</v>
      </c>
      <c r="G830" s="3" t="s">
        <v>925</v>
      </c>
      <c r="H830" s="3" t="s">
        <v>18</v>
      </c>
      <c r="I830" s="3">
        <v>26</v>
      </c>
      <c r="J830" s="3"/>
      <c r="K830" s="3" t="s">
        <v>195</v>
      </c>
      <c r="L830" s="3">
        <v>2</v>
      </c>
      <c r="M830" s="4">
        <v>300</v>
      </c>
      <c r="N830">
        <f>L830 * M830</f>
        <v>600</v>
      </c>
      <c r="O830" s="15">
        <f>N830 *$R$3</f>
        <v>9</v>
      </c>
    </row>
    <row r="831" spans="1:15" ht="15.75">
      <c r="A831" s="3">
        <v>909</v>
      </c>
      <c r="B831">
        <f>DAY(F831)</f>
        <v>1</v>
      </c>
      <c r="C831" t="str">
        <f>TEXT(F831, "mmmm")</f>
        <v>October</v>
      </c>
      <c r="D831" s="3">
        <f>MONTH(F831)</f>
        <v>10</v>
      </c>
      <c r="E831" s="3">
        <f>YEAR(F831)</f>
        <v>2023</v>
      </c>
      <c r="F831" s="2">
        <v>45200</v>
      </c>
      <c r="G831" s="3" t="s">
        <v>926</v>
      </c>
      <c r="H831" s="3" t="s">
        <v>18</v>
      </c>
      <c r="I831" s="3">
        <v>26</v>
      </c>
      <c r="J831" s="3"/>
      <c r="K831" s="3" t="s">
        <v>196</v>
      </c>
      <c r="L831" s="3">
        <v>1</v>
      </c>
      <c r="M831" s="4">
        <v>300</v>
      </c>
      <c r="N831">
        <f>L831 * M831</f>
        <v>300</v>
      </c>
      <c r="O831" s="15">
        <f>N831 *$R$3</f>
        <v>4.5</v>
      </c>
    </row>
    <row r="832" spans="1:15" ht="15.75">
      <c r="A832" s="3">
        <v>915</v>
      </c>
      <c r="B832">
        <f>DAY(F832)</f>
        <v>30</v>
      </c>
      <c r="C832" t="str">
        <f>TEXT(F832, "mmmm")</f>
        <v>May</v>
      </c>
      <c r="D832" s="3">
        <f>MONTH(F832)</f>
        <v>5</v>
      </c>
      <c r="E832" s="3">
        <f>YEAR(F832)</f>
        <v>2023</v>
      </c>
      <c r="F832" s="2">
        <v>45076</v>
      </c>
      <c r="G832" s="3" t="s">
        <v>927</v>
      </c>
      <c r="H832" s="3" t="s">
        <v>198</v>
      </c>
      <c r="I832" s="3">
        <v>26</v>
      </c>
      <c r="J832" s="3"/>
      <c r="K832" s="3" t="s">
        <v>19</v>
      </c>
      <c r="L832" s="3">
        <v>3</v>
      </c>
      <c r="M832" s="4">
        <v>30</v>
      </c>
      <c r="N832">
        <f>L832 * M832</f>
        <v>90</v>
      </c>
      <c r="O832" s="15">
        <f>N832 *$R$3</f>
        <v>1.3499999999999999</v>
      </c>
    </row>
    <row r="833" spans="1:15" ht="15.75">
      <c r="A833" s="3">
        <v>68</v>
      </c>
      <c r="B833">
        <f>DAY(F833)</f>
        <v>10</v>
      </c>
      <c r="C833" t="str">
        <f>TEXT(F833, "mmmm")</f>
        <v>February</v>
      </c>
      <c r="D833" s="3">
        <f>MONTH(F833)</f>
        <v>2</v>
      </c>
      <c r="E833" s="3">
        <f>YEAR(F833)</f>
        <v>2023</v>
      </c>
      <c r="F833" s="2">
        <v>44967</v>
      </c>
      <c r="G833" s="3" t="s">
        <v>928</v>
      </c>
      <c r="H833" s="3" t="s">
        <v>18</v>
      </c>
      <c r="I833" s="3">
        <v>25</v>
      </c>
      <c r="J833" s="3"/>
      <c r="K833" s="3" t="s">
        <v>196</v>
      </c>
      <c r="L833" s="3">
        <v>1</v>
      </c>
      <c r="M833" s="4">
        <v>300</v>
      </c>
      <c r="N833">
        <f>L833 * M833</f>
        <v>300</v>
      </c>
      <c r="O833" s="15">
        <f>N833 *$R$3</f>
        <v>4.5</v>
      </c>
    </row>
    <row r="834" spans="1:15" ht="15.75">
      <c r="A834" s="3">
        <v>128</v>
      </c>
      <c r="B834">
        <f>DAY(F834)</f>
        <v>5</v>
      </c>
      <c r="C834" t="str">
        <f>TEXT(F834, "mmmm")</f>
        <v>July</v>
      </c>
      <c r="D834" s="3">
        <f>MONTH(F834)</f>
        <v>7</v>
      </c>
      <c r="E834" s="3">
        <f>YEAR(F834)</f>
        <v>2023</v>
      </c>
      <c r="F834" s="2">
        <v>45112</v>
      </c>
      <c r="G834" s="3" t="s">
        <v>126</v>
      </c>
      <c r="H834" s="3" t="s">
        <v>18</v>
      </c>
      <c r="I834" s="3">
        <v>25</v>
      </c>
      <c r="J834" s="3"/>
      <c r="K834" s="3" t="s">
        <v>19</v>
      </c>
      <c r="L834" s="3">
        <v>1</v>
      </c>
      <c r="M834" s="4">
        <v>500</v>
      </c>
      <c r="N834">
        <f>L834 * M834</f>
        <v>500</v>
      </c>
      <c r="O834" s="15">
        <f>N834 *$R$3</f>
        <v>7.5</v>
      </c>
    </row>
    <row r="835" spans="1:15" ht="15.75">
      <c r="A835" s="3">
        <v>170</v>
      </c>
      <c r="B835">
        <f>DAY(F835)</f>
        <v>2</v>
      </c>
      <c r="C835" t="str">
        <f>TEXT(F835, "mmmm")</f>
        <v>June</v>
      </c>
      <c r="D835" s="3">
        <f>MONTH(F835)</f>
        <v>6</v>
      </c>
      <c r="E835" s="3">
        <f>YEAR(F835)</f>
        <v>2023</v>
      </c>
      <c r="F835" s="2">
        <v>45079</v>
      </c>
      <c r="G835" s="3" t="s">
        <v>929</v>
      </c>
      <c r="H835" s="3" t="s">
        <v>198</v>
      </c>
      <c r="I835" s="3">
        <v>25</v>
      </c>
      <c r="J835" s="3"/>
      <c r="K835" s="3" t="s">
        <v>195</v>
      </c>
      <c r="L835" s="3">
        <v>2</v>
      </c>
      <c r="M835" s="4">
        <v>25</v>
      </c>
      <c r="N835">
        <f>L835 * M835</f>
        <v>50</v>
      </c>
      <c r="O835" s="15">
        <f>N835 *$R$3</f>
        <v>0.75</v>
      </c>
    </row>
    <row r="836" spans="1:15" ht="15.75">
      <c r="A836" s="3">
        <v>224</v>
      </c>
      <c r="B836">
        <f>DAY(F836)</f>
        <v>23</v>
      </c>
      <c r="C836" t="str">
        <f>TEXT(F836, "mmmm")</f>
        <v>June</v>
      </c>
      <c r="D836" s="3">
        <f>MONTH(F836)</f>
        <v>6</v>
      </c>
      <c r="E836" s="3">
        <f>YEAR(F836)</f>
        <v>2023</v>
      </c>
      <c r="F836" s="2">
        <v>45100</v>
      </c>
      <c r="G836" s="3" t="s">
        <v>930</v>
      </c>
      <c r="H836" s="3" t="s">
        <v>198</v>
      </c>
      <c r="I836" s="3">
        <v>25</v>
      </c>
      <c r="J836" s="3"/>
      <c r="K836" s="3" t="s">
        <v>195</v>
      </c>
      <c r="L836" s="3">
        <v>1</v>
      </c>
      <c r="M836" s="4">
        <v>50</v>
      </c>
      <c r="N836">
        <f>L836 * M836</f>
        <v>50</v>
      </c>
      <c r="O836" s="15">
        <f>N836 *$R$3</f>
        <v>0.75</v>
      </c>
    </row>
    <row r="837" spans="1:15" ht="15.75">
      <c r="A837" s="3">
        <v>269</v>
      </c>
      <c r="B837">
        <f>DAY(F837)</f>
        <v>1</v>
      </c>
      <c r="C837" t="str">
        <f>TEXT(F837, "mmmm")</f>
        <v>February</v>
      </c>
      <c r="D837" s="3">
        <f>MONTH(F837)</f>
        <v>2</v>
      </c>
      <c r="E837" s="3">
        <f>YEAR(F837)</f>
        <v>2023</v>
      </c>
      <c r="F837" s="2">
        <v>44958</v>
      </c>
      <c r="G837" s="3" t="s">
        <v>931</v>
      </c>
      <c r="H837" s="3" t="s">
        <v>18</v>
      </c>
      <c r="I837" s="3">
        <v>25</v>
      </c>
      <c r="J837" s="3"/>
      <c r="K837" s="3" t="s">
        <v>195</v>
      </c>
      <c r="L837" s="3">
        <v>4</v>
      </c>
      <c r="M837" s="4">
        <v>500</v>
      </c>
      <c r="N837">
        <f>L837 * M837</f>
        <v>2000</v>
      </c>
      <c r="O837" s="15">
        <f>N837 *$R$3</f>
        <v>30</v>
      </c>
    </row>
    <row r="838" spans="1:15" ht="15.75">
      <c r="A838" s="3">
        <v>330</v>
      </c>
      <c r="B838">
        <f>DAY(F838)</f>
        <v>18</v>
      </c>
      <c r="C838" t="str">
        <f>TEXT(F838, "mmmm")</f>
        <v>September</v>
      </c>
      <c r="D838" s="3">
        <f>MONTH(F838)</f>
        <v>9</v>
      </c>
      <c r="E838" s="3">
        <f>YEAR(F838)</f>
        <v>2023</v>
      </c>
      <c r="F838" s="2">
        <v>45187</v>
      </c>
      <c r="G838" s="3" t="s">
        <v>932</v>
      </c>
      <c r="H838" s="3" t="s">
        <v>198</v>
      </c>
      <c r="I838" s="3">
        <v>25</v>
      </c>
      <c r="J838" s="3"/>
      <c r="K838" s="3" t="s">
        <v>19</v>
      </c>
      <c r="L838" s="3">
        <v>4</v>
      </c>
      <c r="M838" s="4">
        <v>50</v>
      </c>
      <c r="N838">
        <f>L838 * M838</f>
        <v>200</v>
      </c>
      <c r="O838" s="15">
        <f>N838 *$R$3</f>
        <v>3</v>
      </c>
    </row>
    <row r="839" spans="1:15" ht="15.75">
      <c r="A839" s="3">
        <v>350</v>
      </c>
      <c r="B839">
        <f>DAY(F839)</f>
        <v>17</v>
      </c>
      <c r="C839" t="str">
        <f>TEXT(F839, "mmmm")</f>
        <v>October</v>
      </c>
      <c r="D839" s="3">
        <f>MONTH(F839)</f>
        <v>10</v>
      </c>
      <c r="E839" s="3">
        <f>YEAR(F839)</f>
        <v>2023</v>
      </c>
      <c r="F839" s="2">
        <v>45216</v>
      </c>
      <c r="G839" s="3" t="s">
        <v>70</v>
      </c>
      <c r="H839" s="3" t="s">
        <v>18</v>
      </c>
      <c r="I839" s="3">
        <v>25</v>
      </c>
      <c r="J839" s="3"/>
      <c r="K839" s="3" t="s">
        <v>19</v>
      </c>
      <c r="L839" s="3">
        <v>3</v>
      </c>
      <c r="M839" s="4">
        <v>25</v>
      </c>
      <c r="N839">
        <f>L839 * M839</f>
        <v>75</v>
      </c>
      <c r="O839" s="15">
        <f>N839 *$R$3</f>
        <v>1.125</v>
      </c>
    </row>
    <row r="840" spans="1:15" ht="15.75">
      <c r="A840" s="3">
        <v>373</v>
      </c>
      <c r="B840">
        <f>DAY(F840)</f>
        <v>3</v>
      </c>
      <c r="C840" t="str">
        <f>TEXT(F840, "mmmm")</f>
        <v>October</v>
      </c>
      <c r="D840" s="3">
        <f>MONTH(F840)</f>
        <v>10</v>
      </c>
      <c r="E840" s="3">
        <f>YEAR(F840)</f>
        <v>2023</v>
      </c>
      <c r="F840" s="2">
        <v>45202</v>
      </c>
      <c r="G840" s="3" t="s">
        <v>933</v>
      </c>
      <c r="H840" s="3" t="s">
        <v>198</v>
      </c>
      <c r="I840" s="3">
        <v>25</v>
      </c>
      <c r="J840" s="3"/>
      <c r="K840" s="3" t="s">
        <v>19</v>
      </c>
      <c r="L840" s="3">
        <v>2</v>
      </c>
      <c r="M840" s="4">
        <v>300</v>
      </c>
      <c r="N840">
        <f>L840 * M840</f>
        <v>600</v>
      </c>
      <c r="O840" s="15">
        <f>N840 *$R$3</f>
        <v>9</v>
      </c>
    </row>
    <row r="841" spans="1:15" ht="15.75">
      <c r="A841" s="3">
        <v>405</v>
      </c>
      <c r="B841">
        <f>DAY(F841)</f>
        <v>6</v>
      </c>
      <c r="C841" t="str">
        <f>TEXT(F841, "mmmm")</f>
        <v>November</v>
      </c>
      <c r="D841" s="3">
        <f>MONTH(F841)</f>
        <v>11</v>
      </c>
      <c r="E841" s="3">
        <f>YEAR(F841)</f>
        <v>2023</v>
      </c>
      <c r="F841" s="2">
        <v>45236</v>
      </c>
      <c r="G841" s="3" t="s">
        <v>934</v>
      </c>
      <c r="H841" s="3" t="s">
        <v>198</v>
      </c>
      <c r="I841" s="3">
        <v>25</v>
      </c>
      <c r="J841" s="3"/>
      <c r="K841" s="3" t="s">
        <v>195</v>
      </c>
      <c r="L841" s="3">
        <v>4</v>
      </c>
      <c r="M841" s="4">
        <v>300</v>
      </c>
      <c r="N841">
        <f>L841 * M841</f>
        <v>1200</v>
      </c>
      <c r="O841" s="15">
        <f>N841 *$R$3</f>
        <v>18</v>
      </c>
    </row>
    <row r="842" spans="1:15" ht="15.75">
      <c r="A842" s="3">
        <v>427</v>
      </c>
      <c r="B842">
        <f>DAY(F842)</f>
        <v>15</v>
      </c>
      <c r="C842" t="str">
        <f>TEXT(F842, "mmmm")</f>
        <v>August</v>
      </c>
      <c r="D842" s="3">
        <f>MONTH(F842)</f>
        <v>8</v>
      </c>
      <c r="E842" s="3">
        <f>YEAR(F842)</f>
        <v>2023</v>
      </c>
      <c r="F842" s="2">
        <v>45153</v>
      </c>
      <c r="G842" s="3" t="s">
        <v>935</v>
      </c>
      <c r="H842" s="3" t="s">
        <v>18</v>
      </c>
      <c r="I842" s="3">
        <v>25</v>
      </c>
      <c r="J842" s="3"/>
      <c r="K842" s="3" t="s">
        <v>196</v>
      </c>
      <c r="L842" s="3">
        <v>1</v>
      </c>
      <c r="M842" s="4">
        <v>25</v>
      </c>
      <c r="N842">
        <f>L842 * M842</f>
        <v>25</v>
      </c>
      <c r="O842" s="15">
        <f>N842 *$R$3</f>
        <v>0.375</v>
      </c>
    </row>
    <row r="843" spans="1:15" ht="15.75">
      <c r="A843" s="3">
        <v>449</v>
      </c>
      <c r="B843">
        <f>DAY(F843)</f>
        <v>3</v>
      </c>
      <c r="C843" t="str">
        <f>TEXT(F843, "mmmm")</f>
        <v>July</v>
      </c>
      <c r="D843" s="3">
        <f>MONTH(F843)</f>
        <v>7</v>
      </c>
      <c r="E843" s="3">
        <f>YEAR(F843)</f>
        <v>2023</v>
      </c>
      <c r="F843" s="2">
        <v>45110</v>
      </c>
      <c r="G843" s="3" t="s">
        <v>936</v>
      </c>
      <c r="H843" s="3" t="s">
        <v>18</v>
      </c>
      <c r="I843" s="3">
        <v>25</v>
      </c>
      <c r="J843" s="3"/>
      <c r="K843" s="3" t="s">
        <v>196</v>
      </c>
      <c r="L843" s="3">
        <v>4</v>
      </c>
      <c r="M843" s="4">
        <v>50</v>
      </c>
      <c r="N843">
        <f>L843 * M843</f>
        <v>200</v>
      </c>
      <c r="O843" s="15">
        <f>N843 *$R$3</f>
        <v>3</v>
      </c>
    </row>
    <row r="844" spans="1:15" ht="15.75">
      <c r="A844" s="3">
        <v>539</v>
      </c>
      <c r="B844">
        <f>DAY(F844)</f>
        <v>8</v>
      </c>
      <c r="C844" t="str">
        <f>TEXT(F844, "mmmm")</f>
        <v>June</v>
      </c>
      <c r="D844" s="3">
        <f>MONTH(F844)</f>
        <v>6</v>
      </c>
      <c r="E844" s="3">
        <f>YEAR(F844)</f>
        <v>2023</v>
      </c>
      <c r="F844" s="2">
        <v>45085</v>
      </c>
      <c r="G844" s="3" t="s">
        <v>124</v>
      </c>
      <c r="H844" s="3" t="s">
        <v>18</v>
      </c>
      <c r="I844" s="3">
        <v>25</v>
      </c>
      <c r="J844" s="3"/>
      <c r="K844" s="3" t="s">
        <v>19</v>
      </c>
      <c r="L844" s="3">
        <v>1</v>
      </c>
      <c r="M844" s="4">
        <v>500</v>
      </c>
      <c r="N844">
        <f>L844 * M844</f>
        <v>500</v>
      </c>
      <c r="O844" s="15">
        <f>N844 *$R$3</f>
        <v>7.5</v>
      </c>
    </row>
    <row r="845" spans="1:15" ht="15.75">
      <c r="A845" s="3">
        <v>555</v>
      </c>
      <c r="B845">
        <f>DAY(F845)</f>
        <v>19</v>
      </c>
      <c r="C845" t="str">
        <f>TEXT(F845, "mmmm")</f>
        <v>October</v>
      </c>
      <c r="D845" s="3">
        <f>MONTH(F845)</f>
        <v>10</v>
      </c>
      <c r="E845" s="3">
        <f>YEAR(F845)</f>
        <v>2023</v>
      </c>
      <c r="F845" s="2">
        <v>45218</v>
      </c>
      <c r="G845" s="3" t="s">
        <v>117</v>
      </c>
      <c r="H845" s="3" t="s">
        <v>18</v>
      </c>
      <c r="I845" s="3">
        <v>25</v>
      </c>
      <c r="J845" s="3"/>
      <c r="K845" s="3" t="s">
        <v>19</v>
      </c>
      <c r="L845" s="3">
        <v>1</v>
      </c>
      <c r="M845" s="4">
        <v>300</v>
      </c>
      <c r="N845">
        <f>L845 * M845</f>
        <v>300</v>
      </c>
      <c r="O845" s="15">
        <f>N845 *$R$3</f>
        <v>4.5</v>
      </c>
    </row>
    <row r="846" spans="1:15" ht="15.75">
      <c r="A846" s="3">
        <v>560</v>
      </c>
      <c r="B846">
        <f>DAY(F846)</f>
        <v>5</v>
      </c>
      <c r="C846" t="str">
        <f>TEXT(F846, "mmmm")</f>
        <v>June</v>
      </c>
      <c r="D846" s="3">
        <f>MONTH(F846)</f>
        <v>6</v>
      </c>
      <c r="E846" s="3">
        <f>YEAR(F846)</f>
        <v>2023</v>
      </c>
      <c r="F846" s="2">
        <v>45082</v>
      </c>
      <c r="G846" s="3" t="s">
        <v>937</v>
      </c>
      <c r="H846" s="3" t="s">
        <v>198</v>
      </c>
      <c r="I846" s="3">
        <v>25</v>
      </c>
      <c r="J846" s="3"/>
      <c r="K846" s="3" t="s">
        <v>196</v>
      </c>
      <c r="L846" s="3">
        <v>1</v>
      </c>
      <c r="M846" s="4">
        <v>50</v>
      </c>
      <c r="N846">
        <f>L846 * M846</f>
        <v>50</v>
      </c>
      <c r="O846" s="15">
        <f>N846 *$R$3</f>
        <v>0.75</v>
      </c>
    </row>
    <row r="847" spans="1:15" ht="15.75">
      <c r="A847" s="3">
        <v>567</v>
      </c>
      <c r="B847">
        <f>DAY(F847)</f>
        <v>14</v>
      </c>
      <c r="C847" t="str">
        <f>TEXT(F847, "mmmm")</f>
        <v>June</v>
      </c>
      <c r="D847" s="3">
        <f>MONTH(F847)</f>
        <v>6</v>
      </c>
      <c r="E847" s="3">
        <f>YEAR(F847)</f>
        <v>2023</v>
      </c>
      <c r="F847" s="2">
        <v>45091</v>
      </c>
      <c r="G847" s="3" t="s">
        <v>938</v>
      </c>
      <c r="H847" s="3" t="s">
        <v>198</v>
      </c>
      <c r="I847" s="3">
        <v>25</v>
      </c>
      <c r="J847" s="3"/>
      <c r="K847" s="3" t="s">
        <v>195</v>
      </c>
      <c r="L847" s="3">
        <v>3</v>
      </c>
      <c r="M847" s="4">
        <v>300</v>
      </c>
      <c r="N847">
        <f>L847 * M847</f>
        <v>900</v>
      </c>
      <c r="O847" s="15">
        <f>N847 *$R$3</f>
        <v>13.5</v>
      </c>
    </row>
    <row r="848" spans="1:15" ht="15.75">
      <c r="A848" s="3">
        <v>740</v>
      </c>
      <c r="B848">
        <f>DAY(F848)</f>
        <v>5</v>
      </c>
      <c r="C848" t="str">
        <f>TEXT(F848, "mmmm")</f>
        <v>February</v>
      </c>
      <c r="D848" s="3">
        <f>MONTH(F848)</f>
        <v>2</v>
      </c>
      <c r="E848" s="3">
        <f>YEAR(F848)</f>
        <v>2023</v>
      </c>
      <c r="F848" s="2">
        <v>44962</v>
      </c>
      <c r="G848" s="3" t="s">
        <v>939</v>
      </c>
      <c r="H848" s="3" t="s">
        <v>198</v>
      </c>
      <c r="I848" s="3">
        <v>25</v>
      </c>
      <c r="J848" s="3"/>
      <c r="K848" s="3" t="s">
        <v>19</v>
      </c>
      <c r="L848" s="3">
        <v>4</v>
      </c>
      <c r="M848" s="4">
        <v>50</v>
      </c>
      <c r="N848">
        <f>L848 * M848</f>
        <v>200</v>
      </c>
      <c r="O848" s="15">
        <f>N848 *$R$3</f>
        <v>3</v>
      </c>
    </row>
    <row r="849" spans="1:15" ht="15.75">
      <c r="A849" s="3">
        <v>748</v>
      </c>
      <c r="B849">
        <f>DAY(F849)</f>
        <v>20</v>
      </c>
      <c r="C849" t="str">
        <f>TEXT(F849, "mmmm")</f>
        <v>March</v>
      </c>
      <c r="D849" s="3">
        <f>MONTH(F849)</f>
        <v>3</v>
      </c>
      <c r="E849" s="3">
        <f>YEAR(F849)</f>
        <v>2023</v>
      </c>
      <c r="F849" s="2">
        <v>45005</v>
      </c>
      <c r="G849" s="3" t="s">
        <v>940</v>
      </c>
      <c r="H849" s="3" t="s">
        <v>18</v>
      </c>
      <c r="I849" s="3">
        <v>25</v>
      </c>
      <c r="J849" s="3"/>
      <c r="K849" s="3" t="s">
        <v>195</v>
      </c>
      <c r="L849" s="3">
        <v>3</v>
      </c>
      <c r="M849" s="4">
        <v>50</v>
      </c>
      <c r="N849">
        <f>L849 * M849</f>
        <v>150</v>
      </c>
      <c r="O849" s="15">
        <f>N849 *$R$3</f>
        <v>2.25</v>
      </c>
    </row>
    <row r="850" spans="1:15" ht="15.75">
      <c r="A850" s="3">
        <v>773</v>
      </c>
      <c r="B850">
        <f>DAY(F850)</f>
        <v>23</v>
      </c>
      <c r="C850" t="str">
        <f>TEXT(F850, "mmmm")</f>
        <v>July</v>
      </c>
      <c r="D850" s="3">
        <f>MONTH(F850)</f>
        <v>7</v>
      </c>
      <c r="E850" s="3">
        <f>YEAR(F850)</f>
        <v>2023</v>
      </c>
      <c r="F850" s="2">
        <v>45130</v>
      </c>
      <c r="G850" s="3" t="s">
        <v>941</v>
      </c>
      <c r="H850" s="3" t="s">
        <v>18</v>
      </c>
      <c r="I850" s="3">
        <v>25</v>
      </c>
      <c r="J850" s="3"/>
      <c r="K850" s="3" t="s">
        <v>196</v>
      </c>
      <c r="L850" s="3">
        <v>4</v>
      </c>
      <c r="M850" s="4">
        <v>500</v>
      </c>
      <c r="N850">
        <f>L850 * M850</f>
        <v>2000</v>
      </c>
      <c r="O850" s="15">
        <f>N850 *$R$3</f>
        <v>30</v>
      </c>
    </row>
    <row r="851" spans="1:15" ht="15.75">
      <c r="A851" s="3">
        <v>868</v>
      </c>
      <c r="B851">
        <f>DAY(F851)</f>
        <v>6</v>
      </c>
      <c r="C851" t="str">
        <f>TEXT(F851, "mmmm")</f>
        <v>December</v>
      </c>
      <c r="D851" s="3">
        <f>MONTH(F851)</f>
        <v>12</v>
      </c>
      <c r="E851" s="3">
        <f>YEAR(F851)</f>
        <v>2023</v>
      </c>
      <c r="F851" s="2">
        <v>45266</v>
      </c>
      <c r="G851" s="3" t="s">
        <v>942</v>
      </c>
      <c r="H851" s="3" t="s">
        <v>198</v>
      </c>
      <c r="I851" s="3">
        <v>25</v>
      </c>
      <c r="J851" s="3"/>
      <c r="K851" s="3" t="s">
        <v>196</v>
      </c>
      <c r="L851" s="3">
        <v>1</v>
      </c>
      <c r="M851" s="4">
        <v>300</v>
      </c>
      <c r="N851">
        <f>L851 * M851</f>
        <v>300</v>
      </c>
      <c r="O851" s="15">
        <f>N851 *$R$3</f>
        <v>4.5</v>
      </c>
    </row>
    <row r="852" spans="1:15" ht="15.75">
      <c r="A852" s="3">
        <v>925</v>
      </c>
      <c r="B852">
        <f>DAY(F852)</f>
        <v>3</v>
      </c>
      <c r="C852" t="str">
        <f>TEXT(F852, "mmmm")</f>
        <v>September</v>
      </c>
      <c r="D852" s="3">
        <f>MONTH(F852)</f>
        <v>9</v>
      </c>
      <c r="E852" s="3">
        <f>YEAR(F852)</f>
        <v>2023</v>
      </c>
      <c r="F852" s="2">
        <v>45172</v>
      </c>
      <c r="G852" s="3" t="s">
        <v>943</v>
      </c>
      <c r="H852" s="3" t="s">
        <v>18</v>
      </c>
      <c r="I852" s="3">
        <v>25</v>
      </c>
      <c r="J852" s="3"/>
      <c r="K852" s="3" t="s">
        <v>196</v>
      </c>
      <c r="L852" s="3">
        <v>1</v>
      </c>
      <c r="M852" s="4">
        <v>300</v>
      </c>
      <c r="N852">
        <f>L852 * M852</f>
        <v>300</v>
      </c>
      <c r="O852" s="15">
        <f>N852 *$R$3</f>
        <v>4.5</v>
      </c>
    </row>
    <row r="853" spans="1:15" ht="15.75">
      <c r="A853" s="3">
        <v>185</v>
      </c>
      <c r="B853">
        <f>DAY(F853)</f>
        <v>27</v>
      </c>
      <c r="C853" t="str">
        <f>TEXT(F853, "mmmm")</f>
        <v>February</v>
      </c>
      <c r="D853" s="3">
        <f>MONTH(F853)</f>
        <v>2</v>
      </c>
      <c r="E853" s="3">
        <f>YEAR(F853)</f>
        <v>2023</v>
      </c>
      <c r="F853" s="2">
        <v>44984</v>
      </c>
      <c r="G853" s="3" t="s">
        <v>944</v>
      </c>
      <c r="H853" s="3" t="s">
        <v>18</v>
      </c>
      <c r="I853" s="3">
        <v>24</v>
      </c>
      <c r="J853" s="3"/>
      <c r="K853" s="3" t="s">
        <v>195</v>
      </c>
      <c r="L853" s="3">
        <v>1</v>
      </c>
      <c r="M853" s="4">
        <v>25</v>
      </c>
      <c r="N853">
        <f>L853 * M853</f>
        <v>25</v>
      </c>
      <c r="O853" s="15">
        <f>N853 *$R$3</f>
        <v>0.375</v>
      </c>
    </row>
    <row r="854" spans="1:15" ht="15.75">
      <c r="A854" s="3">
        <v>372</v>
      </c>
      <c r="B854">
        <f>DAY(F854)</f>
        <v>7</v>
      </c>
      <c r="C854" t="str">
        <f>TEXT(F854, "mmmm")</f>
        <v>February</v>
      </c>
      <c r="D854" s="3">
        <f>MONTH(F854)</f>
        <v>2</v>
      </c>
      <c r="E854" s="3">
        <f>YEAR(F854)</f>
        <v>2023</v>
      </c>
      <c r="F854" s="2">
        <v>44964</v>
      </c>
      <c r="G854" s="3" t="s">
        <v>945</v>
      </c>
      <c r="H854" s="3" t="s">
        <v>198</v>
      </c>
      <c r="I854" s="3">
        <v>24</v>
      </c>
      <c r="J854" s="3"/>
      <c r="K854" s="3" t="s">
        <v>19</v>
      </c>
      <c r="L854" s="3">
        <v>3</v>
      </c>
      <c r="M854" s="4">
        <v>500</v>
      </c>
      <c r="N854">
        <f>L854 * M854</f>
        <v>1500</v>
      </c>
      <c r="O854" s="15">
        <f>N854 *$R$3</f>
        <v>22.5</v>
      </c>
    </row>
    <row r="855" spans="1:15" ht="15.75">
      <c r="A855" s="3">
        <v>485</v>
      </c>
      <c r="B855">
        <f>DAY(F855)</f>
        <v>4</v>
      </c>
      <c r="C855" t="str">
        <f>TEXT(F855, "mmmm")</f>
        <v>December</v>
      </c>
      <c r="D855" s="3">
        <f>MONTH(F855)</f>
        <v>12</v>
      </c>
      <c r="E855" s="3">
        <f>YEAR(F855)</f>
        <v>2023</v>
      </c>
      <c r="F855" s="2">
        <v>45264</v>
      </c>
      <c r="G855" s="3" t="s">
        <v>946</v>
      </c>
      <c r="H855" s="3" t="s">
        <v>18</v>
      </c>
      <c r="I855" s="3">
        <v>24</v>
      </c>
      <c r="J855" s="3"/>
      <c r="K855" s="3" t="s">
        <v>196</v>
      </c>
      <c r="L855" s="3">
        <v>1</v>
      </c>
      <c r="M855" s="4">
        <v>30</v>
      </c>
      <c r="N855">
        <f>L855 * M855</f>
        <v>30</v>
      </c>
      <c r="O855" s="15">
        <f>N855 *$R$3</f>
        <v>0.44999999999999996</v>
      </c>
    </row>
    <row r="856" spans="1:15" ht="15.75">
      <c r="A856" s="3">
        <v>495</v>
      </c>
      <c r="B856">
        <f>DAY(F856)</f>
        <v>24</v>
      </c>
      <c r="C856" t="str">
        <f>TEXT(F856, "mmmm")</f>
        <v>July</v>
      </c>
      <c r="D856" s="3">
        <f>MONTH(F856)</f>
        <v>7</v>
      </c>
      <c r="E856" s="3">
        <f>YEAR(F856)</f>
        <v>2023</v>
      </c>
      <c r="F856" s="2">
        <v>45131</v>
      </c>
      <c r="G856" s="3" t="s">
        <v>59</v>
      </c>
      <c r="H856" s="3" t="s">
        <v>18</v>
      </c>
      <c r="I856" s="3">
        <v>24</v>
      </c>
      <c r="J856" s="3"/>
      <c r="K856" s="3" t="s">
        <v>19</v>
      </c>
      <c r="L856" s="3">
        <v>2</v>
      </c>
      <c r="M856" s="4">
        <v>30</v>
      </c>
      <c r="N856">
        <f>L856 * M856</f>
        <v>60</v>
      </c>
      <c r="O856" s="15">
        <f>N856 *$R$3</f>
        <v>0.89999999999999991</v>
      </c>
    </row>
    <row r="857" spans="1:15" ht="15.75">
      <c r="A857" s="3">
        <v>505</v>
      </c>
      <c r="B857">
        <f>DAY(F857)</f>
        <v>20</v>
      </c>
      <c r="C857" t="str">
        <f>TEXT(F857, "mmmm")</f>
        <v>January</v>
      </c>
      <c r="D857" s="3">
        <f>MONTH(F857)</f>
        <v>1</v>
      </c>
      <c r="E857" s="3">
        <f>YEAR(F857)</f>
        <v>2023</v>
      </c>
      <c r="F857" s="2">
        <v>44946</v>
      </c>
      <c r="G857" s="3" t="s">
        <v>47</v>
      </c>
      <c r="H857" s="3" t="s">
        <v>18</v>
      </c>
      <c r="I857" s="3">
        <v>24</v>
      </c>
      <c r="J857" s="3"/>
      <c r="K857" s="3" t="s">
        <v>19</v>
      </c>
      <c r="L857" s="3">
        <v>1</v>
      </c>
      <c r="M857" s="4">
        <v>50</v>
      </c>
      <c r="N857">
        <f>L857 * M857</f>
        <v>50</v>
      </c>
      <c r="O857" s="15">
        <f>N857 *$R$3</f>
        <v>0.75</v>
      </c>
    </row>
    <row r="858" spans="1:15" ht="15.75">
      <c r="A858" s="3">
        <v>513</v>
      </c>
      <c r="B858">
        <f>DAY(F858)</f>
        <v>19</v>
      </c>
      <c r="C858" t="str">
        <f>TEXT(F858, "mmmm")</f>
        <v>September</v>
      </c>
      <c r="D858" s="3">
        <f>MONTH(F858)</f>
        <v>9</v>
      </c>
      <c r="E858" s="3">
        <f>YEAR(F858)</f>
        <v>2023</v>
      </c>
      <c r="F858" s="2">
        <v>45188</v>
      </c>
      <c r="G858" s="3" t="s">
        <v>947</v>
      </c>
      <c r="H858" s="3" t="s">
        <v>18</v>
      </c>
      <c r="I858" s="3">
        <v>24</v>
      </c>
      <c r="J858" s="3"/>
      <c r="K858" s="3" t="s">
        <v>196</v>
      </c>
      <c r="L858" s="3">
        <v>4</v>
      </c>
      <c r="M858" s="4">
        <v>25</v>
      </c>
      <c r="N858">
        <f>L858 * M858</f>
        <v>100</v>
      </c>
      <c r="O858" s="15">
        <f>N858 *$R$3</f>
        <v>1.5</v>
      </c>
    </row>
    <row r="859" spans="1:15" ht="15.75">
      <c r="A859" s="3">
        <v>553</v>
      </c>
      <c r="B859">
        <f>DAY(F859)</f>
        <v>31</v>
      </c>
      <c r="C859" t="str">
        <f>TEXT(F859, "mmmm")</f>
        <v>March</v>
      </c>
      <c r="D859" s="3">
        <f>MONTH(F859)</f>
        <v>3</v>
      </c>
      <c r="E859" s="3">
        <f>YEAR(F859)</f>
        <v>2023</v>
      </c>
      <c r="F859" s="2">
        <v>45016</v>
      </c>
      <c r="G859" s="3" t="s">
        <v>948</v>
      </c>
      <c r="H859" s="3" t="s">
        <v>18</v>
      </c>
      <c r="I859" s="3">
        <v>24</v>
      </c>
      <c r="J859" s="3"/>
      <c r="K859" s="3" t="s">
        <v>195</v>
      </c>
      <c r="L859" s="3">
        <v>4</v>
      </c>
      <c r="M859" s="4">
        <v>300</v>
      </c>
      <c r="N859">
        <f>L859 * M859</f>
        <v>1200</v>
      </c>
      <c r="O859" s="15">
        <f>N859 *$R$3</f>
        <v>18</v>
      </c>
    </row>
    <row r="860" spans="1:15" ht="15.75">
      <c r="A860" s="3">
        <v>583</v>
      </c>
      <c r="B860">
        <f>DAY(F860)</f>
        <v>21</v>
      </c>
      <c r="C860" t="str">
        <f>TEXT(F860, "mmmm")</f>
        <v>June</v>
      </c>
      <c r="D860" s="3">
        <f>MONTH(F860)</f>
        <v>6</v>
      </c>
      <c r="E860" s="3">
        <f>YEAR(F860)</f>
        <v>2023</v>
      </c>
      <c r="F860" s="2">
        <v>45098</v>
      </c>
      <c r="G860" s="3" t="s">
        <v>949</v>
      </c>
      <c r="H860" s="3" t="s">
        <v>198</v>
      </c>
      <c r="I860" s="3">
        <v>24</v>
      </c>
      <c r="J860" s="3"/>
      <c r="K860" s="3" t="s">
        <v>196</v>
      </c>
      <c r="L860" s="3">
        <v>4</v>
      </c>
      <c r="M860" s="4">
        <v>25</v>
      </c>
      <c r="N860">
        <f>L860 * M860</f>
        <v>100</v>
      </c>
      <c r="O860" s="15">
        <f>N860 *$R$3</f>
        <v>1.5</v>
      </c>
    </row>
    <row r="861" spans="1:15" ht="15.75">
      <c r="A861" s="3">
        <v>585</v>
      </c>
      <c r="B861">
        <f>DAY(F861)</f>
        <v>1</v>
      </c>
      <c r="C861" t="str">
        <f>TEXT(F861, "mmmm")</f>
        <v>May</v>
      </c>
      <c r="D861" s="3">
        <f>MONTH(F861)</f>
        <v>5</v>
      </c>
      <c r="E861" s="3">
        <f>YEAR(F861)</f>
        <v>2023</v>
      </c>
      <c r="F861" s="2">
        <v>45047</v>
      </c>
      <c r="G861" s="3" t="s">
        <v>950</v>
      </c>
      <c r="H861" s="3" t="s">
        <v>198</v>
      </c>
      <c r="I861" s="3">
        <v>24</v>
      </c>
      <c r="J861" s="3"/>
      <c r="K861" s="3" t="s">
        <v>195</v>
      </c>
      <c r="L861" s="3">
        <v>1</v>
      </c>
      <c r="M861" s="4">
        <v>25</v>
      </c>
      <c r="N861">
        <f>L861 * M861</f>
        <v>25</v>
      </c>
      <c r="O861" s="15">
        <f>N861 *$R$3</f>
        <v>0.375</v>
      </c>
    </row>
    <row r="862" spans="1:15" ht="15.75">
      <c r="A862" s="3">
        <v>669</v>
      </c>
      <c r="B862">
        <f>DAY(F862)</f>
        <v>19</v>
      </c>
      <c r="C862" t="str">
        <f>TEXT(F862, "mmmm")</f>
        <v>June</v>
      </c>
      <c r="D862" s="3">
        <f>MONTH(F862)</f>
        <v>6</v>
      </c>
      <c r="E862" s="3">
        <f>YEAR(F862)</f>
        <v>2023</v>
      </c>
      <c r="F862" s="2">
        <v>45096</v>
      </c>
      <c r="G862" s="3" t="s">
        <v>145</v>
      </c>
      <c r="H862" s="3" t="s">
        <v>18</v>
      </c>
      <c r="I862" s="3">
        <v>24</v>
      </c>
      <c r="J862" s="3"/>
      <c r="K862" s="3" t="s">
        <v>19</v>
      </c>
      <c r="L862" s="3">
        <v>4</v>
      </c>
      <c r="M862" s="4">
        <v>300</v>
      </c>
      <c r="N862">
        <f>L862 * M862</f>
        <v>1200</v>
      </c>
      <c r="O862" s="15">
        <f>N862 *$R$3</f>
        <v>18</v>
      </c>
    </row>
    <row r="863" spans="1:15" ht="15.75">
      <c r="A863" s="3">
        <v>762</v>
      </c>
      <c r="B863">
        <f>DAY(F863)</f>
        <v>7</v>
      </c>
      <c r="C863" t="str">
        <f>TEXT(F863, "mmmm")</f>
        <v>November</v>
      </c>
      <c r="D863" s="3">
        <f>MONTH(F863)</f>
        <v>11</v>
      </c>
      <c r="E863" s="3">
        <f>YEAR(F863)</f>
        <v>2023</v>
      </c>
      <c r="F863" s="2">
        <v>45237</v>
      </c>
      <c r="G863" s="3" t="s">
        <v>951</v>
      </c>
      <c r="H863" s="3" t="s">
        <v>198</v>
      </c>
      <c r="I863" s="3">
        <v>24</v>
      </c>
      <c r="J863" s="3"/>
      <c r="K863" s="3" t="s">
        <v>196</v>
      </c>
      <c r="L863" s="3">
        <v>2</v>
      </c>
      <c r="M863" s="4">
        <v>25</v>
      </c>
      <c r="N863">
        <f>L863 * M863</f>
        <v>50</v>
      </c>
      <c r="O863" s="15">
        <f>N863 *$R$3</f>
        <v>0.75</v>
      </c>
    </row>
    <row r="864" spans="1:15" ht="15.75">
      <c r="A864" s="3">
        <v>768</v>
      </c>
      <c r="B864">
        <f>DAY(F864)</f>
        <v>14</v>
      </c>
      <c r="C864" t="str">
        <f>TEXT(F864, "mmmm")</f>
        <v>January</v>
      </c>
      <c r="D864" s="3">
        <f>MONTH(F864)</f>
        <v>1</v>
      </c>
      <c r="E864" s="3">
        <f>YEAR(F864)</f>
        <v>2023</v>
      </c>
      <c r="F864" s="2">
        <v>44940</v>
      </c>
      <c r="G864" s="3" t="s">
        <v>952</v>
      </c>
      <c r="H864" s="3" t="s">
        <v>198</v>
      </c>
      <c r="I864" s="3">
        <v>24</v>
      </c>
      <c r="J864" s="3"/>
      <c r="K864" s="3" t="s">
        <v>19</v>
      </c>
      <c r="L864" s="3">
        <v>3</v>
      </c>
      <c r="M864" s="4">
        <v>25</v>
      </c>
      <c r="N864">
        <f>L864 * M864</f>
        <v>75</v>
      </c>
      <c r="O864" s="15">
        <f>N864 *$R$3</f>
        <v>1.125</v>
      </c>
    </row>
    <row r="865" spans="1:15" ht="15.75">
      <c r="A865" s="3">
        <v>771</v>
      </c>
      <c r="B865">
        <f>DAY(F865)</f>
        <v>13</v>
      </c>
      <c r="C865" t="str">
        <f>TEXT(F865, "mmmm")</f>
        <v>December</v>
      </c>
      <c r="D865" s="3">
        <f>MONTH(F865)</f>
        <v>12</v>
      </c>
      <c r="E865" s="3">
        <f>YEAR(F865)</f>
        <v>2023</v>
      </c>
      <c r="F865" s="2">
        <v>45273</v>
      </c>
      <c r="G865" s="3" t="s">
        <v>953</v>
      </c>
      <c r="H865" s="3" t="s">
        <v>18</v>
      </c>
      <c r="I865" s="3">
        <v>24</v>
      </c>
      <c r="J865" s="3"/>
      <c r="K865" s="3" t="s">
        <v>196</v>
      </c>
      <c r="L865" s="3">
        <v>2</v>
      </c>
      <c r="M865" s="4">
        <v>25</v>
      </c>
      <c r="N865">
        <f>L865 * M865</f>
        <v>50</v>
      </c>
      <c r="O865" s="15">
        <f>N865 *$R$3</f>
        <v>0.75</v>
      </c>
    </row>
    <row r="866" spans="1:15" ht="15.75">
      <c r="A866" s="3">
        <v>866</v>
      </c>
      <c r="B866">
        <f>DAY(F866)</f>
        <v>5</v>
      </c>
      <c r="C866" t="str">
        <f>TEXT(F866, "mmmm")</f>
        <v>May</v>
      </c>
      <c r="D866" s="3">
        <f>MONTH(F866)</f>
        <v>5</v>
      </c>
      <c r="E866" s="3">
        <f>YEAR(F866)</f>
        <v>2023</v>
      </c>
      <c r="F866" s="2">
        <v>45051</v>
      </c>
      <c r="G866" s="3" t="s">
        <v>954</v>
      </c>
      <c r="H866" s="3" t="s">
        <v>18</v>
      </c>
      <c r="I866" s="3">
        <v>24</v>
      </c>
      <c r="J866" s="3"/>
      <c r="K866" s="3" t="s">
        <v>196</v>
      </c>
      <c r="L866" s="3">
        <v>1</v>
      </c>
      <c r="M866" s="4">
        <v>50</v>
      </c>
      <c r="N866">
        <f>L866 * M866</f>
        <v>50</v>
      </c>
      <c r="O866" s="15">
        <f>N866 *$R$3</f>
        <v>0.75</v>
      </c>
    </row>
    <row r="867" spans="1:15" ht="15.75">
      <c r="A867" s="3">
        <v>964</v>
      </c>
      <c r="B867">
        <f>DAY(F867)</f>
        <v>31</v>
      </c>
      <c r="C867" t="str">
        <f>TEXT(F867, "mmmm")</f>
        <v>January</v>
      </c>
      <c r="D867" s="3">
        <f>MONTH(F867)</f>
        <v>1</v>
      </c>
      <c r="E867" s="3">
        <f>YEAR(F867)</f>
        <v>2023</v>
      </c>
      <c r="F867" s="2">
        <v>44957</v>
      </c>
      <c r="G867" s="3" t="s">
        <v>955</v>
      </c>
      <c r="H867" s="3" t="s">
        <v>18</v>
      </c>
      <c r="I867" s="3">
        <v>24</v>
      </c>
      <c r="J867" s="3"/>
      <c r="K867" s="3" t="s">
        <v>195</v>
      </c>
      <c r="L867" s="3">
        <v>3</v>
      </c>
      <c r="M867" s="4">
        <v>300</v>
      </c>
      <c r="N867">
        <f>L867 * M867</f>
        <v>900</v>
      </c>
      <c r="O867" s="15">
        <f>N867 *$R$3</f>
        <v>13.5</v>
      </c>
    </row>
    <row r="868" spans="1:15" ht="15.75">
      <c r="A868" s="3">
        <v>11</v>
      </c>
      <c r="B868">
        <f>DAY(F868)</f>
        <v>14</v>
      </c>
      <c r="C868" t="str">
        <f>TEXT(F868, "mmmm")</f>
        <v>February</v>
      </c>
      <c r="D868" s="3">
        <f>MONTH(F868)</f>
        <v>2</v>
      </c>
      <c r="E868" s="3">
        <f>YEAR(F868)</f>
        <v>2023</v>
      </c>
      <c r="F868" s="2">
        <v>44971</v>
      </c>
      <c r="G868" s="3" t="s">
        <v>956</v>
      </c>
      <c r="H868" s="3" t="s">
        <v>18</v>
      </c>
      <c r="I868" s="3">
        <v>23</v>
      </c>
      <c r="J868" s="3"/>
      <c r="K868" s="3" t="s">
        <v>195</v>
      </c>
      <c r="L868" s="3">
        <v>2</v>
      </c>
      <c r="M868" s="4">
        <v>50</v>
      </c>
      <c r="N868">
        <f>L868 * M868</f>
        <v>100</v>
      </c>
      <c r="O868" s="15">
        <f>N868 *$R$3</f>
        <v>1.5</v>
      </c>
    </row>
    <row r="869" spans="1:15" ht="15.75">
      <c r="A869" s="3">
        <v>39</v>
      </c>
      <c r="B869">
        <f>DAY(F869)</f>
        <v>21</v>
      </c>
      <c r="C869" t="str">
        <f>TEXT(F869, "mmmm")</f>
        <v>April</v>
      </c>
      <c r="D869" s="3">
        <f>MONTH(F869)</f>
        <v>4</v>
      </c>
      <c r="E869" s="3">
        <f>YEAR(F869)</f>
        <v>2023</v>
      </c>
      <c r="F869" s="2">
        <v>45037</v>
      </c>
      <c r="G869" s="3" t="s">
        <v>957</v>
      </c>
      <c r="H869" s="3" t="s">
        <v>18</v>
      </c>
      <c r="I869" s="3">
        <v>23</v>
      </c>
      <c r="J869" s="3"/>
      <c r="K869" s="3" t="s">
        <v>195</v>
      </c>
      <c r="L869" s="3">
        <v>4</v>
      </c>
      <c r="M869" s="4">
        <v>30</v>
      </c>
      <c r="N869">
        <f>L869 * M869</f>
        <v>120</v>
      </c>
      <c r="O869" s="15">
        <f>N869 *$R$3</f>
        <v>1.7999999999999998</v>
      </c>
    </row>
    <row r="870" spans="1:15" ht="15.75">
      <c r="A870" s="3">
        <v>116</v>
      </c>
      <c r="B870">
        <f>DAY(F870)</f>
        <v>23</v>
      </c>
      <c r="C870" t="str">
        <f>TEXT(F870, "mmmm")</f>
        <v>August</v>
      </c>
      <c r="D870" s="3">
        <f>MONTH(F870)</f>
        <v>8</v>
      </c>
      <c r="E870" s="3">
        <f>YEAR(F870)</f>
        <v>2023</v>
      </c>
      <c r="F870" s="2">
        <v>45161</v>
      </c>
      <c r="G870" s="3" t="s">
        <v>958</v>
      </c>
      <c r="H870" s="3" t="s">
        <v>198</v>
      </c>
      <c r="I870" s="3">
        <v>23</v>
      </c>
      <c r="J870" s="3"/>
      <c r="K870" s="3" t="s">
        <v>195</v>
      </c>
      <c r="L870" s="3">
        <v>1</v>
      </c>
      <c r="M870" s="4">
        <v>30</v>
      </c>
      <c r="N870">
        <f>L870 * M870</f>
        <v>30</v>
      </c>
      <c r="O870" s="15">
        <f>N870 *$R$3</f>
        <v>0.44999999999999996</v>
      </c>
    </row>
    <row r="871" spans="1:15" ht="15.75">
      <c r="A871" s="3">
        <v>147</v>
      </c>
      <c r="B871">
        <f>DAY(F871)</f>
        <v>28</v>
      </c>
      <c r="C871" t="str">
        <f>TEXT(F871, "mmmm")</f>
        <v>September</v>
      </c>
      <c r="D871" s="3">
        <f>MONTH(F871)</f>
        <v>9</v>
      </c>
      <c r="E871" s="3">
        <f>YEAR(F871)</f>
        <v>2023</v>
      </c>
      <c r="F871" s="2">
        <v>45197</v>
      </c>
      <c r="G871" s="3" t="s">
        <v>959</v>
      </c>
      <c r="H871" s="3" t="s">
        <v>18</v>
      </c>
      <c r="I871" s="3">
        <v>23</v>
      </c>
      <c r="J871" s="3"/>
      <c r="K871" s="3" t="s">
        <v>196</v>
      </c>
      <c r="L871" s="3">
        <v>1</v>
      </c>
      <c r="M871" s="4">
        <v>300</v>
      </c>
      <c r="N871">
        <f>L871 * M871</f>
        <v>300</v>
      </c>
      <c r="O871" s="15">
        <f>N871 *$R$3</f>
        <v>4.5</v>
      </c>
    </row>
    <row r="872" spans="1:15" ht="15.75">
      <c r="A872" s="3">
        <v>231</v>
      </c>
      <c r="B872">
        <f>DAY(F872)</f>
        <v>4</v>
      </c>
      <c r="C872" t="str">
        <f>TEXT(F872, "mmmm")</f>
        <v>January</v>
      </c>
      <c r="D872" s="3">
        <f>MONTH(F872)</f>
        <v>1</v>
      </c>
      <c r="E872" s="3">
        <f>YEAR(F872)</f>
        <v>2023</v>
      </c>
      <c r="F872" s="2">
        <v>44930</v>
      </c>
      <c r="G872" s="3" t="s">
        <v>960</v>
      </c>
      <c r="H872" s="3" t="s">
        <v>198</v>
      </c>
      <c r="I872" s="3">
        <v>23</v>
      </c>
      <c r="J872" s="3"/>
      <c r="K872" s="3" t="s">
        <v>195</v>
      </c>
      <c r="L872" s="3">
        <v>3</v>
      </c>
      <c r="M872" s="4">
        <v>50</v>
      </c>
      <c r="N872">
        <f>L872 * M872</f>
        <v>150</v>
      </c>
      <c r="O872" s="15">
        <f>N872 *$R$3</f>
        <v>2.25</v>
      </c>
    </row>
    <row r="873" spans="1:15" ht="15.75">
      <c r="A873" s="3">
        <v>235</v>
      </c>
      <c r="B873">
        <f>DAY(F873)</f>
        <v>31</v>
      </c>
      <c r="C873" t="str">
        <f>TEXT(F873, "mmmm")</f>
        <v>January</v>
      </c>
      <c r="D873" s="3">
        <f>MONTH(F873)</f>
        <v>1</v>
      </c>
      <c r="E873" s="3">
        <f>YEAR(F873)</f>
        <v>2023</v>
      </c>
      <c r="F873" s="2">
        <v>44957</v>
      </c>
      <c r="G873" s="3" t="s">
        <v>961</v>
      </c>
      <c r="H873" s="3" t="s">
        <v>198</v>
      </c>
      <c r="I873" s="3">
        <v>23</v>
      </c>
      <c r="J873" s="3"/>
      <c r="K873" s="3" t="s">
        <v>196</v>
      </c>
      <c r="L873" s="3">
        <v>2</v>
      </c>
      <c r="M873" s="4">
        <v>500</v>
      </c>
      <c r="N873">
        <f>L873 * M873</f>
        <v>1000</v>
      </c>
      <c r="O873" s="15">
        <f>N873 *$R$3</f>
        <v>15</v>
      </c>
    </row>
    <row r="874" spans="1:15" ht="15.75">
      <c r="A874" s="3">
        <v>240</v>
      </c>
      <c r="B874">
        <f>DAY(F874)</f>
        <v>6</v>
      </c>
      <c r="C874" t="str">
        <f>TEXT(F874, "mmmm")</f>
        <v>February</v>
      </c>
      <c r="D874" s="3">
        <f>MONTH(F874)</f>
        <v>2</v>
      </c>
      <c r="E874" s="3">
        <f>YEAR(F874)</f>
        <v>2023</v>
      </c>
      <c r="F874" s="2">
        <v>44963</v>
      </c>
      <c r="G874" s="3" t="s">
        <v>962</v>
      </c>
      <c r="H874" s="3" t="s">
        <v>198</v>
      </c>
      <c r="I874" s="3">
        <v>23</v>
      </c>
      <c r="J874" s="3"/>
      <c r="K874" s="3" t="s">
        <v>19</v>
      </c>
      <c r="L874" s="3">
        <v>1</v>
      </c>
      <c r="M874" s="4">
        <v>300</v>
      </c>
      <c r="N874">
        <f>L874 * M874</f>
        <v>300</v>
      </c>
      <c r="O874" s="15">
        <f>N874 *$R$3</f>
        <v>4.5</v>
      </c>
    </row>
    <row r="875" spans="1:15" ht="15.75">
      <c r="A875" s="3">
        <v>241</v>
      </c>
      <c r="B875">
        <f>DAY(F875)</f>
        <v>21</v>
      </c>
      <c r="C875" t="str">
        <f>TEXT(F875, "mmmm")</f>
        <v>September</v>
      </c>
      <c r="D875" s="3">
        <f>MONTH(F875)</f>
        <v>9</v>
      </c>
      <c r="E875" s="3">
        <f>YEAR(F875)</f>
        <v>2023</v>
      </c>
      <c r="F875" s="2">
        <v>45190</v>
      </c>
      <c r="G875" s="3" t="s">
        <v>963</v>
      </c>
      <c r="H875" s="3" t="s">
        <v>198</v>
      </c>
      <c r="I875" s="3">
        <v>23</v>
      </c>
      <c r="J875" s="3"/>
      <c r="K875" s="3" t="s">
        <v>196</v>
      </c>
      <c r="L875" s="3">
        <v>3</v>
      </c>
      <c r="M875" s="4">
        <v>25</v>
      </c>
      <c r="N875">
        <f>L875 * M875</f>
        <v>75</v>
      </c>
      <c r="O875" s="15">
        <f>N875 *$R$3</f>
        <v>1.125</v>
      </c>
    </row>
    <row r="876" spans="1:15" ht="15.75">
      <c r="A876" s="3">
        <v>256</v>
      </c>
      <c r="B876">
        <f>DAY(F876)</f>
        <v>18</v>
      </c>
      <c r="C876" t="str">
        <f>TEXT(F876, "mmmm")</f>
        <v>February</v>
      </c>
      <c r="D876" s="3">
        <f>MONTH(F876)</f>
        <v>2</v>
      </c>
      <c r="E876" s="3">
        <f>YEAR(F876)</f>
        <v>2023</v>
      </c>
      <c r="F876" s="2">
        <v>44975</v>
      </c>
      <c r="G876" s="3" t="s">
        <v>964</v>
      </c>
      <c r="H876" s="3" t="s">
        <v>18</v>
      </c>
      <c r="I876" s="3">
        <v>23</v>
      </c>
      <c r="J876" s="3"/>
      <c r="K876" s="3" t="s">
        <v>195</v>
      </c>
      <c r="L876" s="3">
        <v>2</v>
      </c>
      <c r="M876" s="4">
        <v>500</v>
      </c>
      <c r="N876">
        <f>L876 * M876</f>
        <v>1000</v>
      </c>
      <c r="O876" s="15">
        <f>N876 *$R$3</f>
        <v>15</v>
      </c>
    </row>
    <row r="877" spans="1:15" ht="15.75">
      <c r="A877" s="3">
        <v>263</v>
      </c>
      <c r="B877">
        <f>DAY(F877)</f>
        <v>28</v>
      </c>
      <c r="C877" t="str">
        <f>TEXT(F877, "mmmm")</f>
        <v>August</v>
      </c>
      <c r="D877" s="3">
        <f>MONTH(F877)</f>
        <v>8</v>
      </c>
      <c r="E877" s="3">
        <f>YEAR(F877)</f>
        <v>2023</v>
      </c>
      <c r="F877" s="2">
        <v>45166</v>
      </c>
      <c r="G877" s="3" t="s">
        <v>60</v>
      </c>
      <c r="H877" s="3" t="s">
        <v>18</v>
      </c>
      <c r="I877" s="3">
        <v>23</v>
      </c>
      <c r="J877" s="3"/>
      <c r="K877" s="3" t="s">
        <v>19</v>
      </c>
      <c r="L877" s="3">
        <v>2</v>
      </c>
      <c r="M877" s="4">
        <v>30</v>
      </c>
      <c r="N877">
        <f>L877 * M877</f>
        <v>60</v>
      </c>
      <c r="O877" s="15">
        <f>N877 *$R$3</f>
        <v>0.89999999999999991</v>
      </c>
    </row>
    <row r="878" spans="1:15" ht="15.75">
      <c r="A878" s="3">
        <v>274</v>
      </c>
      <c r="B878">
        <f>DAY(F878)</f>
        <v>9</v>
      </c>
      <c r="C878" t="str">
        <f>TEXT(F878, "mmmm")</f>
        <v>April</v>
      </c>
      <c r="D878" s="3">
        <f>MONTH(F878)</f>
        <v>4</v>
      </c>
      <c r="E878" s="3">
        <f>YEAR(F878)</f>
        <v>2023</v>
      </c>
      <c r="F878" s="2">
        <v>45025</v>
      </c>
      <c r="G878" s="3" t="s">
        <v>965</v>
      </c>
      <c r="H878" s="3" t="s">
        <v>198</v>
      </c>
      <c r="I878" s="3">
        <v>23</v>
      </c>
      <c r="J878" s="3"/>
      <c r="K878" s="3" t="s">
        <v>195</v>
      </c>
      <c r="L878" s="3">
        <v>2</v>
      </c>
      <c r="M878" s="4">
        <v>500</v>
      </c>
      <c r="N878">
        <f>L878 * M878</f>
        <v>1000</v>
      </c>
      <c r="O878" s="15">
        <f>N878 *$R$3</f>
        <v>15</v>
      </c>
    </row>
    <row r="879" spans="1:15" ht="15.75">
      <c r="A879" s="3">
        <v>294</v>
      </c>
      <c r="B879">
        <f>DAY(F879)</f>
        <v>27</v>
      </c>
      <c r="C879" t="str">
        <f>TEXT(F879, "mmmm")</f>
        <v>March</v>
      </c>
      <c r="D879" s="3">
        <f>MONTH(F879)</f>
        <v>3</v>
      </c>
      <c r="E879" s="3">
        <f>YEAR(F879)</f>
        <v>2023</v>
      </c>
      <c r="F879" s="2">
        <v>45012</v>
      </c>
      <c r="G879" s="3" t="s">
        <v>966</v>
      </c>
      <c r="H879" s="3" t="s">
        <v>198</v>
      </c>
      <c r="I879" s="3">
        <v>23</v>
      </c>
      <c r="J879" s="3"/>
      <c r="K879" s="3" t="s">
        <v>195</v>
      </c>
      <c r="L879" s="3">
        <v>3</v>
      </c>
      <c r="M879" s="4">
        <v>30</v>
      </c>
      <c r="N879">
        <f>L879 * M879</f>
        <v>90</v>
      </c>
      <c r="O879" s="15">
        <f>N879 *$R$3</f>
        <v>1.3499999999999999</v>
      </c>
    </row>
    <row r="880" spans="1:15" ht="15.75">
      <c r="A880" s="3">
        <v>369</v>
      </c>
      <c r="B880">
        <f>DAY(F880)</f>
        <v>15</v>
      </c>
      <c r="C880" t="str">
        <f>TEXT(F880, "mmmm")</f>
        <v>November</v>
      </c>
      <c r="D880" s="3">
        <f>MONTH(F880)</f>
        <v>11</v>
      </c>
      <c r="E880" s="3">
        <f>YEAR(F880)</f>
        <v>2023</v>
      </c>
      <c r="F880" s="2">
        <v>45245</v>
      </c>
      <c r="G880" s="3" t="s">
        <v>967</v>
      </c>
      <c r="H880" s="3" t="s">
        <v>18</v>
      </c>
      <c r="I880" s="3">
        <v>23</v>
      </c>
      <c r="J880" s="3"/>
      <c r="K880" s="3" t="s">
        <v>196</v>
      </c>
      <c r="L880" s="3">
        <v>3</v>
      </c>
      <c r="M880" s="4">
        <v>500</v>
      </c>
      <c r="N880">
        <f>L880 * M880</f>
        <v>1500</v>
      </c>
      <c r="O880" s="15">
        <f>N880 *$R$3</f>
        <v>22.5</v>
      </c>
    </row>
    <row r="881" spans="1:15" ht="15.75">
      <c r="A881" s="3">
        <v>370</v>
      </c>
      <c r="B881">
        <f>DAY(F881)</f>
        <v>16</v>
      </c>
      <c r="C881" t="str">
        <f>TEXT(F881, "mmmm")</f>
        <v>October</v>
      </c>
      <c r="D881" s="3">
        <f>MONTH(F881)</f>
        <v>10</v>
      </c>
      <c r="E881" s="3">
        <f>YEAR(F881)</f>
        <v>2023</v>
      </c>
      <c r="F881" s="2">
        <v>45215</v>
      </c>
      <c r="G881" s="3" t="s">
        <v>968</v>
      </c>
      <c r="H881" s="3" t="s">
        <v>18</v>
      </c>
      <c r="I881" s="3">
        <v>23</v>
      </c>
      <c r="J881" s="3"/>
      <c r="K881" s="3" t="s">
        <v>196</v>
      </c>
      <c r="L881" s="3">
        <v>2</v>
      </c>
      <c r="M881" s="4">
        <v>30</v>
      </c>
      <c r="N881">
        <f>L881 * M881</f>
        <v>60</v>
      </c>
      <c r="O881" s="15">
        <f>N881 *$R$3</f>
        <v>0.89999999999999991</v>
      </c>
    </row>
    <row r="882" spans="1:15" ht="15.75">
      <c r="A882" s="3">
        <v>426</v>
      </c>
      <c r="B882">
        <f>DAY(F882)</f>
        <v>24</v>
      </c>
      <c r="C882" t="str">
        <f>TEXT(F882, "mmmm")</f>
        <v>March</v>
      </c>
      <c r="D882" s="3">
        <f>MONTH(F882)</f>
        <v>3</v>
      </c>
      <c r="E882" s="3">
        <f>YEAR(F882)</f>
        <v>2023</v>
      </c>
      <c r="F882" s="2">
        <v>45009</v>
      </c>
      <c r="G882" s="3" t="s">
        <v>969</v>
      </c>
      <c r="H882" s="3" t="s">
        <v>18</v>
      </c>
      <c r="I882" s="3">
        <v>23</v>
      </c>
      <c r="J882" s="3"/>
      <c r="K882" s="3" t="s">
        <v>196</v>
      </c>
      <c r="L882" s="3">
        <v>3</v>
      </c>
      <c r="M882" s="4">
        <v>50</v>
      </c>
      <c r="N882">
        <f>L882 * M882</f>
        <v>150</v>
      </c>
      <c r="O882" s="15">
        <f>N882 *$R$3</f>
        <v>2.25</v>
      </c>
    </row>
    <row r="883" spans="1:15" ht="15.75">
      <c r="A883" s="3">
        <v>496</v>
      </c>
      <c r="B883">
        <f>DAY(F883)</f>
        <v>14</v>
      </c>
      <c r="C883" t="str">
        <f>TEXT(F883, "mmmm")</f>
        <v>December</v>
      </c>
      <c r="D883" s="3">
        <f>MONTH(F883)</f>
        <v>12</v>
      </c>
      <c r="E883" s="3">
        <f>YEAR(F883)</f>
        <v>2023</v>
      </c>
      <c r="F883" s="2">
        <v>45274</v>
      </c>
      <c r="G883" s="3" t="s">
        <v>970</v>
      </c>
      <c r="H883" s="3" t="s">
        <v>18</v>
      </c>
      <c r="I883" s="3">
        <v>23</v>
      </c>
      <c r="J883" s="3"/>
      <c r="K883" s="3" t="s">
        <v>195</v>
      </c>
      <c r="L883" s="3">
        <v>2</v>
      </c>
      <c r="M883" s="4">
        <v>300</v>
      </c>
      <c r="N883">
        <f>L883 * M883</f>
        <v>600</v>
      </c>
      <c r="O883" s="15">
        <f>N883 *$R$3</f>
        <v>9</v>
      </c>
    </row>
    <row r="884" spans="1:15" ht="15.75">
      <c r="A884" s="3">
        <v>644</v>
      </c>
      <c r="B884">
        <f>DAY(F884)</f>
        <v>6</v>
      </c>
      <c r="C884" t="str">
        <f>TEXT(F884, "mmmm")</f>
        <v>September</v>
      </c>
      <c r="D884" s="3">
        <f>MONTH(F884)</f>
        <v>9</v>
      </c>
      <c r="E884" s="3">
        <f>YEAR(F884)</f>
        <v>2023</v>
      </c>
      <c r="F884" s="2">
        <v>45175</v>
      </c>
      <c r="G884" s="3" t="s">
        <v>68</v>
      </c>
      <c r="H884" s="3" t="s">
        <v>18</v>
      </c>
      <c r="I884" s="3">
        <v>23</v>
      </c>
      <c r="J884" s="3"/>
      <c r="K884" s="3" t="s">
        <v>19</v>
      </c>
      <c r="L884" s="3">
        <v>3</v>
      </c>
      <c r="M884" s="4">
        <v>25</v>
      </c>
      <c r="N884">
        <f>L884 * M884</f>
        <v>75</v>
      </c>
      <c r="O884" s="15">
        <f>N884 *$R$3</f>
        <v>1.125</v>
      </c>
    </row>
    <row r="885" spans="1:15" ht="15.75">
      <c r="A885" s="3">
        <v>663</v>
      </c>
      <c r="B885">
        <f>DAY(F885)</f>
        <v>20</v>
      </c>
      <c r="C885" t="str">
        <f>TEXT(F885, "mmmm")</f>
        <v>March</v>
      </c>
      <c r="D885" s="3">
        <f>MONTH(F885)</f>
        <v>3</v>
      </c>
      <c r="E885" s="3">
        <f>YEAR(F885)</f>
        <v>2023</v>
      </c>
      <c r="F885" s="2">
        <v>45005</v>
      </c>
      <c r="G885" s="3" t="s">
        <v>971</v>
      </c>
      <c r="H885" s="3" t="s">
        <v>18</v>
      </c>
      <c r="I885" s="3">
        <v>23</v>
      </c>
      <c r="J885" s="3"/>
      <c r="K885" s="3" t="s">
        <v>195</v>
      </c>
      <c r="L885" s="3">
        <v>4</v>
      </c>
      <c r="M885" s="4">
        <v>300</v>
      </c>
      <c r="N885">
        <f>L885 * M885</f>
        <v>1200</v>
      </c>
      <c r="O885" s="15">
        <f>N885 *$R$3</f>
        <v>18</v>
      </c>
    </row>
    <row r="886" spans="1:15" ht="15.75">
      <c r="A886" s="3">
        <v>747</v>
      </c>
      <c r="B886">
        <f>DAY(F886)</f>
        <v>15</v>
      </c>
      <c r="C886" t="str">
        <f>TEXT(F886, "mmmm")</f>
        <v>November</v>
      </c>
      <c r="D886" s="3">
        <f>MONTH(F886)</f>
        <v>11</v>
      </c>
      <c r="E886" s="3">
        <f>YEAR(F886)</f>
        <v>2023</v>
      </c>
      <c r="F886" s="2">
        <v>45245</v>
      </c>
      <c r="G886" s="3" t="s">
        <v>38</v>
      </c>
      <c r="H886" s="3" t="s">
        <v>18</v>
      </c>
      <c r="I886" s="3">
        <v>23</v>
      </c>
      <c r="J886" s="3"/>
      <c r="K886" s="3" t="s">
        <v>19</v>
      </c>
      <c r="L886" s="3">
        <v>1</v>
      </c>
      <c r="M886" s="4">
        <v>30</v>
      </c>
      <c r="N886">
        <f>L886 * M886</f>
        <v>30</v>
      </c>
      <c r="O886" s="15">
        <f>N886 *$R$3</f>
        <v>0.44999999999999996</v>
      </c>
    </row>
    <row r="887" spans="1:15" ht="15.75">
      <c r="A887" s="3">
        <v>858</v>
      </c>
      <c r="B887">
        <f>DAY(F887)</f>
        <v>9</v>
      </c>
      <c r="C887" t="str">
        <f>TEXT(F887, "mmmm")</f>
        <v>September</v>
      </c>
      <c r="D887" s="3">
        <f>MONTH(F887)</f>
        <v>9</v>
      </c>
      <c r="E887" s="3">
        <f>YEAR(F887)</f>
        <v>2023</v>
      </c>
      <c r="F887" s="2">
        <v>45178</v>
      </c>
      <c r="G887" s="3" t="s">
        <v>972</v>
      </c>
      <c r="H887" s="3" t="s">
        <v>18</v>
      </c>
      <c r="I887" s="3">
        <v>23</v>
      </c>
      <c r="J887" s="3"/>
      <c r="K887" s="3" t="s">
        <v>196</v>
      </c>
      <c r="L887" s="3">
        <v>2</v>
      </c>
      <c r="M887" s="4">
        <v>50</v>
      </c>
      <c r="N887">
        <f>L887 * M887</f>
        <v>100</v>
      </c>
      <c r="O887" s="15">
        <f>N887 *$R$3</f>
        <v>1.5</v>
      </c>
    </row>
    <row r="888" spans="1:15" ht="15.75">
      <c r="A888" s="3">
        <v>879</v>
      </c>
      <c r="B888">
        <f>DAY(F888)</f>
        <v>26</v>
      </c>
      <c r="C888" t="str">
        <f>TEXT(F888, "mmmm")</f>
        <v>December</v>
      </c>
      <c r="D888" s="3">
        <f>MONTH(F888)</f>
        <v>12</v>
      </c>
      <c r="E888" s="3">
        <f>YEAR(F888)</f>
        <v>2023</v>
      </c>
      <c r="F888" s="2">
        <v>45286</v>
      </c>
      <c r="G888" s="3" t="s">
        <v>973</v>
      </c>
      <c r="H888" s="3" t="s">
        <v>18</v>
      </c>
      <c r="I888" s="3">
        <v>23</v>
      </c>
      <c r="J888" s="3"/>
      <c r="K888" s="3" t="s">
        <v>195</v>
      </c>
      <c r="L888" s="3">
        <v>1</v>
      </c>
      <c r="M888" s="4">
        <v>30</v>
      </c>
      <c r="N888">
        <f>L888 * M888</f>
        <v>30</v>
      </c>
      <c r="O888" s="15">
        <f>N888 *$R$3</f>
        <v>0.44999999999999996</v>
      </c>
    </row>
    <row r="889" spans="1:15" ht="15.75">
      <c r="A889" s="3">
        <v>929</v>
      </c>
      <c r="B889">
        <f>DAY(F889)</f>
        <v>27</v>
      </c>
      <c r="C889" t="str">
        <f>TEXT(F889, "mmmm")</f>
        <v>January</v>
      </c>
      <c r="D889" s="3">
        <f>MONTH(F889)</f>
        <v>1</v>
      </c>
      <c r="E889" s="3">
        <f>YEAR(F889)</f>
        <v>2023</v>
      </c>
      <c r="F889" s="2">
        <v>44953</v>
      </c>
      <c r="G889" s="3" t="s">
        <v>974</v>
      </c>
      <c r="H889" s="3" t="s">
        <v>198</v>
      </c>
      <c r="I889" s="3">
        <v>23</v>
      </c>
      <c r="J889" s="3"/>
      <c r="K889" s="3" t="s">
        <v>19</v>
      </c>
      <c r="L889" s="3">
        <v>3</v>
      </c>
      <c r="M889" s="4">
        <v>25</v>
      </c>
      <c r="N889">
        <f>L889 * M889</f>
        <v>75</v>
      </c>
      <c r="O889" s="15">
        <f>N889 *$R$3</f>
        <v>1.125</v>
      </c>
    </row>
    <row r="890" spans="1:15" ht="15.75">
      <c r="A890" s="3">
        <v>948</v>
      </c>
      <c r="B890">
        <f>DAY(F890)</f>
        <v>13</v>
      </c>
      <c r="C890" t="str">
        <f>TEXT(F890, "mmmm")</f>
        <v>October</v>
      </c>
      <c r="D890" s="3">
        <f>MONTH(F890)</f>
        <v>10</v>
      </c>
      <c r="E890" s="3">
        <f>YEAR(F890)</f>
        <v>2023</v>
      </c>
      <c r="F890" s="2">
        <v>45212</v>
      </c>
      <c r="G890" s="3" t="s">
        <v>975</v>
      </c>
      <c r="H890" s="3" t="s">
        <v>198</v>
      </c>
      <c r="I890" s="3">
        <v>23</v>
      </c>
      <c r="J890" s="3"/>
      <c r="K890" s="3" t="s">
        <v>196</v>
      </c>
      <c r="L890" s="3">
        <v>3</v>
      </c>
      <c r="M890" s="4">
        <v>25</v>
      </c>
      <c r="N890">
        <f>L890 * M890</f>
        <v>75</v>
      </c>
      <c r="O890" s="15">
        <f>N890 *$R$3</f>
        <v>1.125</v>
      </c>
    </row>
    <row r="891" spans="1:15" ht="15.75">
      <c r="A891" s="3">
        <v>998</v>
      </c>
      <c r="B891">
        <f>DAY(F891)</f>
        <v>29</v>
      </c>
      <c r="C891" t="str">
        <f>TEXT(F891, "mmmm")</f>
        <v>October</v>
      </c>
      <c r="D891" s="3">
        <f>MONTH(F891)</f>
        <v>10</v>
      </c>
      <c r="E891" s="3">
        <f>YEAR(F891)</f>
        <v>2023</v>
      </c>
      <c r="F891" s="2">
        <v>45228</v>
      </c>
      <c r="G891" s="3" t="s">
        <v>976</v>
      </c>
      <c r="H891" s="3" t="s">
        <v>198</v>
      </c>
      <c r="I891" s="3">
        <v>23</v>
      </c>
      <c r="J891" s="3"/>
      <c r="K891" s="3" t="s">
        <v>19</v>
      </c>
      <c r="L891" s="3">
        <v>4</v>
      </c>
      <c r="M891" s="4">
        <v>25</v>
      </c>
      <c r="N891">
        <f>L891 * M891</f>
        <v>100</v>
      </c>
      <c r="O891" s="15">
        <f>N891 *$R$3</f>
        <v>1.5</v>
      </c>
    </row>
    <row r="892" spans="1:15" ht="15.75">
      <c r="A892" s="3">
        <v>13</v>
      </c>
      <c r="B892">
        <f>DAY(F892)</f>
        <v>5</v>
      </c>
      <c r="C892" t="str">
        <f>TEXT(F892, "mmmm")</f>
        <v>August</v>
      </c>
      <c r="D892" s="3">
        <f>MONTH(F892)</f>
        <v>8</v>
      </c>
      <c r="E892" s="3">
        <f>YEAR(F892)</f>
        <v>2023</v>
      </c>
      <c r="F892" s="2">
        <v>45143</v>
      </c>
      <c r="G892" s="3" t="s">
        <v>977</v>
      </c>
      <c r="H892" s="3" t="s">
        <v>18</v>
      </c>
      <c r="I892" s="3">
        <v>22</v>
      </c>
      <c r="J892" s="3"/>
      <c r="K892" s="3" t="s">
        <v>196</v>
      </c>
      <c r="L892" s="3">
        <v>3</v>
      </c>
      <c r="M892" s="4">
        <v>500</v>
      </c>
      <c r="N892">
        <f>L892 * M892</f>
        <v>1500</v>
      </c>
      <c r="O892" s="15">
        <f>N892 *$R$3</f>
        <v>22.5</v>
      </c>
    </row>
    <row r="893" spans="1:15" ht="15.75">
      <c r="A893" s="3">
        <v>20</v>
      </c>
      <c r="B893">
        <f>DAY(F893)</f>
        <v>5</v>
      </c>
      <c r="C893" t="str">
        <f>TEXT(F893, "mmmm")</f>
        <v>November</v>
      </c>
      <c r="D893" s="3">
        <f>MONTH(F893)</f>
        <v>11</v>
      </c>
      <c r="E893" s="3">
        <f>YEAR(F893)</f>
        <v>2023</v>
      </c>
      <c r="F893" s="2">
        <v>45235</v>
      </c>
      <c r="G893" s="3" t="s">
        <v>978</v>
      </c>
      <c r="H893" s="3" t="s">
        <v>18</v>
      </c>
      <c r="I893" s="3">
        <v>22</v>
      </c>
      <c r="J893" s="3"/>
      <c r="K893" s="3" t="s">
        <v>195</v>
      </c>
      <c r="L893" s="3">
        <v>3</v>
      </c>
      <c r="M893" s="4">
        <v>300</v>
      </c>
      <c r="N893">
        <f>L893 * M893</f>
        <v>900</v>
      </c>
      <c r="O893" s="15">
        <f>N893 *$R$3</f>
        <v>13.5</v>
      </c>
    </row>
    <row r="894" spans="1:15" ht="15.75">
      <c r="A894" s="3">
        <v>42</v>
      </c>
      <c r="B894">
        <f>DAY(F894)</f>
        <v>17</v>
      </c>
      <c r="C894" t="str">
        <f>TEXT(F894, "mmmm")</f>
        <v>February</v>
      </c>
      <c r="D894" s="3">
        <f>MONTH(F894)</f>
        <v>2</v>
      </c>
      <c r="E894" s="3">
        <f>YEAR(F894)</f>
        <v>2023</v>
      </c>
      <c r="F894" s="2">
        <v>44974</v>
      </c>
      <c r="G894" s="3" t="s">
        <v>979</v>
      </c>
      <c r="H894" s="3" t="s">
        <v>18</v>
      </c>
      <c r="I894" s="3">
        <v>22</v>
      </c>
      <c r="J894" s="3"/>
      <c r="K894" s="3" t="s">
        <v>195</v>
      </c>
      <c r="L894" s="3">
        <v>3</v>
      </c>
      <c r="M894" s="4">
        <v>300</v>
      </c>
      <c r="N894">
        <f>L894 * M894</f>
        <v>900</v>
      </c>
      <c r="O894" s="15">
        <f>N894 *$R$3</f>
        <v>13.5</v>
      </c>
    </row>
    <row r="895" spans="1:15" ht="15.75">
      <c r="A895" s="3">
        <v>44</v>
      </c>
      <c r="B895">
        <f>DAY(F895)</f>
        <v>19</v>
      </c>
      <c r="C895" t="str">
        <f>TEXT(F895, "mmmm")</f>
        <v>February</v>
      </c>
      <c r="D895" s="3">
        <f>MONTH(F895)</f>
        <v>2</v>
      </c>
      <c r="E895" s="3">
        <f>YEAR(F895)</f>
        <v>2023</v>
      </c>
      <c r="F895" s="2">
        <v>44976</v>
      </c>
      <c r="G895" s="3" t="s">
        <v>980</v>
      </c>
      <c r="H895" s="3" t="s">
        <v>198</v>
      </c>
      <c r="I895" s="3">
        <v>22</v>
      </c>
      <c r="J895" s="3"/>
      <c r="K895" s="3" t="s">
        <v>195</v>
      </c>
      <c r="L895" s="3">
        <v>1</v>
      </c>
      <c r="M895" s="4">
        <v>25</v>
      </c>
      <c r="N895">
        <f>L895 * M895</f>
        <v>25</v>
      </c>
      <c r="O895" s="15">
        <f>N895 *$R$3</f>
        <v>0.375</v>
      </c>
    </row>
    <row r="896" spans="1:15" ht="15.75">
      <c r="A896" s="3">
        <v>76</v>
      </c>
      <c r="B896">
        <f>DAY(F896)</f>
        <v>25</v>
      </c>
      <c r="C896" t="str">
        <f>TEXT(F896, "mmmm")</f>
        <v>March</v>
      </c>
      <c r="D896" s="3">
        <f>MONTH(F896)</f>
        <v>3</v>
      </c>
      <c r="E896" s="3">
        <f>YEAR(F896)</f>
        <v>2023</v>
      </c>
      <c r="F896" s="2">
        <v>45010</v>
      </c>
      <c r="G896" s="3" t="s">
        <v>981</v>
      </c>
      <c r="H896" s="3" t="s">
        <v>198</v>
      </c>
      <c r="I896" s="3">
        <v>22</v>
      </c>
      <c r="J896" s="3"/>
      <c r="K896" s="3" t="s">
        <v>196</v>
      </c>
      <c r="L896" s="3">
        <v>2</v>
      </c>
      <c r="M896" s="4">
        <v>50</v>
      </c>
      <c r="N896">
        <f>L896 * M896</f>
        <v>100</v>
      </c>
      <c r="O896" s="15">
        <f>N896 *$R$3</f>
        <v>1.5</v>
      </c>
    </row>
    <row r="897" spans="1:15" ht="15.75">
      <c r="A897" s="3">
        <v>105</v>
      </c>
      <c r="B897">
        <f>DAY(F897)</f>
        <v>25</v>
      </c>
      <c r="C897" t="str">
        <f>TEXT(F897, "mmmm")</f>
        <v>July</v>
      </c>
      <c r="D897" s="3">
        <f>MONTH(F897)</f>
        <v>7</v>
      </c>
      <c r="E897" s="3">
        <f>YEAR(F897)</f>
        <v>2023</v>
      </c>
      <c r="F897" s="2">
        <v>45132</v>
      </c>
      <c r="G897" s="3" t="s">
        <v>982</v>
      </c>
      <c r="H897" s="3" t="s">
        <v>198</v>
      </c>
      <c r="I897" s="3">
        <v>22</v>
      </c>
      <c r="J897" s="3"/>
      <c r="K897" s="3" t="s">
        <v>196</v>
      </c>
      <c r="L897" s="3">
        <v>1</v>
      </c>
      <c r="M897" s="4">
        <v>500</v>
      </c>
      <c r="N897">
        <f>L897 * M897</f>
        <v>500</v>
      </c>
      <c r="O897" s="15">
        <f>N897 *$R$3</f>
        <v>7.5</v>
      </c>
    </row>
    <row r="898" spans="1:15" ht="15.75">
      <c r="A898" s="3">
        <v>114</v>
      </c>
      <c r="B898">
        <f>DAY(F898)</f>
        <v>22</v>
      </c>
      <c r="C898" t="str">
        <f>TEXT(F898, "mmmm")</f>
        <v>July</v>
      </c>
      <c r="D898" s="3">
        <f>MONTH(F898)</f>
        <v>7</v>
      </c>
      <c r="E898" s="3">
        <f>YEAR(F898)</f>
        <v>2023</v>
      </c>
      <c r="F898" s="2">
        <v>45129</v>
      </c>
      <c r="G898" s="3" t="s">
        <v>983</v>
      </c>
      <c r="H898" s="3" t="s">
        <v>198</v>
      </c>
      <c r="I898" s="3">
        <v>22</v>
      </c>
      <c r="J898" s="3"/>
      <c r="K898" s="3" t="s">
        <v>19</v>
      </c>
      <c r="L898" s="3">
        <v>4</v>
      </c>
      <c r="M898" s="4">
        <v>25</v>
      </c>
      <c r="N898">
        <f>L898 * M898</f>
        <v>100</v>
      </c>
      <c r="O898" s="15">
        <f>N898 *$R$3</f>
        <v>1.5</v>
      </c>
    </row>
    <row r="899" spans="1:15" ht="15.75">
      <c r="A899" s="3">
        <v>141</v>
      </c>
      <c r="B899">
        <f>DAY(F899)</f>
        <v>2</v>
      </c>
      <c r="C899" t="str">
        <f>TEXT(F899, "mmmm")</f>
        <v>November</v>
      </c>
      <c r="D899" s="3">
        <f>MONTH(F899)</f>
        <v>11</v>
      </c>
      <c r="E899" s="3">
        <f>YEAR(F899)</f>
        <v>2023</v>
      </c>
      <c r="F899" s="2">
        <v>45232</v>
      </c>
      <c r="G899" s="3" t="s">
        <v>984</v>
      </c>
      <c r="H899" s="3" t="s">
        <v>198</v>
      </c>
      <c r="I899" s="3">
        <v>22</v>
      </c>
      <c r="J899" s="3"/>
      <c r="K899" s="3" t="s">
        <v>196</v>
      </c>
      <c r="L899" s="3">
        <v>1</v>
      </c>
      <c r="M899" s="4">
        <v>50</v>
      </c>
      <c r="N899">
        <f>L899 * M899</f>
        <v>50</v>
      </c>
      <c r="O899" s="15">
        <f>N899 *$R$3</f>
        <v>0.75</v>
      </c>
    </row>
    <row r="900" spans="1:15" ht="15.75">
      <c r="A900" s="3">
        <v>149</v>
      </c>
      <c r="B900">
        <f>DAY(F900)</f>
        <v>11</v>
      </c>
      <c r="C900" t="str">
        <f>TEXT(F900, "mmmm")</f>
        <v>October</v>
      </c>
      <c r="D900" s="3">
        <f>MONTH(F900)</f>
        <v>10</v>
      </c>
      <c r="E900" s="3">
        <f>YEAR(F900)</f>
        <v>2023</v>
      </c>
      <c r="F900" s="2">
        <v>45210</v>
      </c>
      <c r="G900" s="3" t="s">
        <v>985</v>
      </c>
      <c r="H900" s="3" t="s">
        <v>18</v>
      </c>
      <c r="I900" s="3">
        <v>22</v>
      </c>
      <c r="J900" s="3"/>
      <c r="K900" s="3" t="s">
        <v>195</v>
      </c>
      <c r="L900" s="3">
        <v>3</v>
      </c>
      <c r="M900" s="4">
        <v>25</v>
      </c>
      <c r="N900">
        <f>L900 * M900</f>
        <v>75</v>
      </c>
      <c r="O900" s="15">
        <f>N900 *$R$3</f>
        <v>1.125</v>
      </c>
    </row>
    <row r="901" spans="1:15" ht="15.75">
      <c r="A901" s="3">
        <v>273</v>
      </c>
      <c r="B901">
        <f>DAY(F901)</f>
        <v>8</v>
      </c>
      <c r="C901" t="str">
        <f>TEXT(F901, "mmmm")</f>
        <v>May</v>
      </c>
      <c r="D901" s="3">
        <f>MONTH(F901)</f>
        <v>5</v>
      </c>
      <c r="E901" s="3">
        <f>YEAR(F901)</f>
        <v>2023</v>
      </c>
      <c r="F901" s="2">
        <v>45054</v>
      </c>
      <c r="G901" s="3" t="s">
        <v>986</v>
      </c>
      <c r="H901" s="3" t="s">
        <v>198</v>
      </c>
      <c r="I901" s="3">
        <v>22</v>
      </c>
      <c r="J901" s="3"/>
      <c r="K901" s="3" t="s">
        <v>19</v>
      </c>
      <c r="L901" s="3">
        <v>1</v>
      </c>
      <c r="M901" s="4">
        <v>50</v>
      </c>
      <c r="N901">
        <f>L901 * M901</f>
        <v>50</v>
      </c>
      <c r="O901" s="15">
        <f>N901 *$R$3</f>
        <v>0.75</v>
      </c>
    </row>
    <row r="902" spans="1:15" ht="15.75">
      <c r="A902" s="3">
        <v>296</v>
      </c>
      <c r="B902">
        <f>DAY(F902)</f>
        <v>6</v>
      </c>
      <c r="C902" t="str">
        <f>TEXT(F902, "mmmm")</f>
        <v>September</v>
      </c>
      <c r="D902" s="3">
        <f>MONTH(F902)</f>
        <v>9</v>
      </c>
      <c r="E902" s="3">
        <f>YEAR(F902)</f>
        <v>2023</v>
      </c>
      <c r="F902" s="2">
        <v>45175</v>
      </c>
      <c r="G902" s="3" t="s">
        <v>987</v>
      </c>
      <c r="H902" s="3" t="s">
        <v>198</v>
      </c>
      <c r="I902" s="3">
        <v>22</v>
      </c>
      <c r="J902" s="3"/>
      <c r="K902" s="3" t="s">
        <v>195</v>
      </c>
      <c r="L902" s="3">
        <v>4</v>
      </c>
      <c r="M902" s="4">
        <v>300</v>
      </c>
      <c r="N902">
        <f>L902 * M902</f>
        <v>1200</v>
      </c>
      <c r="O902" s="15">
        <f>N902 *$R$3</f>
        <v>18</v>
      </c>
    </row>
    <row r="903" spans="1:15" ht="15.75">
      <c r="A903" s="3">
        <v>317</v>
      </c>
      <c r="B903">
        <f>DAY(F903)</f>
        <v>30</v>
      </c>
      <c r="C903" t="str">
        <f>TEXT(F903, "mmmm")</f>
        <v>January</v>
      </c>
      <c r="D903" s="3">
        <f>MONTH(F903)</f>
        <v>1</v>
      </c>
      <c r="E903" s="3">
        <f>YEAR(F903)</f>
        <v>2023</v>
      </c>
      <c r="F903" s="2">
        <v>44956</v>
      </c>
      <c r="G903" s="3" t="s">
        <v>988</v>
      </c>
      <c r="H903" s="3" t="s">
        <v>18</v>
      </c>
      <c r="I903" s="3">
        <v>22</v>
      </c>
      <c r="J903" s="3"/>
      <c r="K903" s="3" t="s">
        <v>196</v>
      </c>
      <c r="L903" s="3">
        <v>3</v>
      </c>
      <c r="M903" s="4">
        <v>30</v>
      </c>
      <c r="N903">
        <f>L903 * M903</f>
        <v>90</v>
      </c>
      <c r="O903" s="15">
        <f>N903 *$R$3</f>
        <v>1.3499999999999999</v>
      </c>
    </row>
    <row r="904" spans="1:15" ht="15.75">
      <c r="A904" s="3">
        <v>339</v>
      </c>
      <c r="B904">
        <f>DAY(F904)</f>
        <v>3</v>
      </c>
      <c r="C904" t="str">
        <f>TEXT(F904, "mmmm")</f>
        <v>March</v>
      </c>
      <c r="D904" s="3">
        <f>MONTH(F904)</f>
        <v>3</v>
      </c>
      <c r="E904" s="3">
        <f>YEAR(F904)</f>
        <v>2023</v>
      </c>
      <c r="F904" s="2">
        <v>44988</v>
      </c>
      <c r="G904" s="3" t="s">
        <v>989</v>
      </c>
      <c r="H904" s="3" t="s">
        <v>198</v>
      </c>
      <c r="I904" s="3">
        <v>22</v>
      </c>
      <c r="J904" s="3"/>
      <c r="K904" s="3" t="s">
        <v>196</v>
      </c>
      <c r="L904" s="3">
        <v>2</v>
      </c>
      <c r="M904" s="4">
        <v>25</v>
      </c>
      <c r="N904">
        <f>L904 * M904</f>
        <v>50</v>
      </c>
      <c r="O904" s="15">
        <f>N904 *$R$3</f>
        <v>0.75</v>
      </c>
    </row>
    <row r="905" spans="1:15" ht="15.75">
      <c r="A905" s="3">
        <v>393</v>
      </c>
      <c r="B905">
        <f>DAY(F905)</f>
        <v>11</v>
      </c>
      <c r="C905" t="str">
        <f>TEXT(F905, "mmmm")</f>
        <v>October</v>
      </c>
      <c r="D905" s="3">
        <f>MONTH(F905)</f>
        <v>10</v>
      </c>
      <c r="E905" s="3">
        <f>YEAR(F905)</f>
        <v>2023</v>
      </c>
      <c r="F905" s="2">
        <v>45210</v>
      </c>
      <c r="G905" s="3" t="s">
        <v>990</v>
      </c>
      <c r="H905" s="3" t="s">
        <v>198</v>
      </c>
      <c r="I905" s="3">
        <v>22</v>
      </c>
      <c r="J905" s="3"/>
      <c r="K905" s="3" t="s">
        <v>19</v>
      </c>
      <c r="L905" s="3">
        <v>2</v>
      </c>
      <c r="M905" s="4">
        <v>500</v>
      </c>
      <c r="N905">
        <f>L905 * M905</f>
        <v>1000</v>
      </c>
      <c r="O905" s="15">
        <f>N905 *$R$3</f>
        <v>15</v>
      </c>
    </row>
    <row r="906" spans="1:15" ht="15.75">
      <c r="A906" s="3">
        <v>406</v>
      </c>
      <c r="B906">
        <f>DAY(F906)</f>
        <v>18</v>
      </c>
      <c r="C906" t="str">
        <f>TEXT(F906, "mmmm")</f>
        <v>April</v>
      </c>
      <c r="D906" s="3">
        <f>MONTH(F906)</f>
        <v>4</v>
      </c>
      <c r="E906" s="3">
        <f>YEAR(F906)</f>
        <v>2023</v>
      </c>
      <c r="F906" s="2">
        <v>45034</v>
      </c>
      <c r="G906" s="3" t="s">
        <v>991</v>
      </c>
      <c r="H906" s="3" t="s">
        <v>198</v>
      </c>
      <c r="I906" s="3">
        <v>22</v>
      </c>
      <c r="J906" s="3"/>
      <c r="K906" s="3" t="s">
        <v>19</v>
      </c>
      <c r="L906" s="3">
        <v>4</v>
      </c>
      <c r="M906" s="4">
        <v>25</v>
      </c>
      <c r="N906">
        <f>L906 * M906</f>
        <v>100</v>
      </c>
      <c r="O906" s="15">
        <f>N906 *$R$3</f>
        <v>1.5</v>
      </c>
    </row>
    <row r="907" spans="1:15" ht="15.75">
      <c r="A907" s="3">
        <v>420</v>
      </c>
      <c r="B907">
        <f>DAY(F907)</f>
        <v>23</v>
      </c>
      <c r="C907" t="str">
        <f>TEXT(F907, "mmmm")</f>
        <v>January</v>
      </c>
      <c r="D907" s="3">
        <f>MONTH(F907)</f>
        <v>1</v>
      </c>
      <c r="E907" s="3">
        <f>YEAR(F907)</f>
        <v>2023</v>
      </c>
      <c r="F907" s="2">
        <v>44949</v>
      </c>
      <c r="G907" s="3" t="s">
        <v>992</v>
      </c>
      <c r="H907" s="3" t="s">
        <v>198</v>
      </c>
      <c r="I907" s="3">
        <v>22</v>
      </c>
      <c r="J907" s="3"/>
      <c r="K907" s="3" t="s">
        <v>195</v>
      </c>
      <c r="L907" s="3">
        <v>4</v>
      </c>
      <c r="M907" s="4">
        <v>500</v>
      </c>
      <c r="N907">
        <f>L907 * M907</f>
        <v>2000</v>
      </c>
      <c r="O907" s="15">
        <f>N907 *$R$3</f>
        <v>30</v>
      </c>
    </row>
    <row r="908" spans="1:15" ht="15.75">
      <c r="A908" s="3">
        <v>447</v>
      </c>
      <c r="B908">
        <f>DAY(F908)</f>
        <v>6</v>
      </c>
      <c r="C908" t="str">
        <f>TEXT(F908, "mmmm")</f>
        <v>July</v>
      </c>
      <c r="D908" s="3">
        <f>MONTH(F908)</f>
        <v>7</v>
      </c>
      <c r="E908" s="3">
        <f>YEAR(F908)</f>
        <v>2023</v>
      </c>
      <c r="F908" s="2">
        <v>45113</v>
      </c>
      <c r="G908" s="3" t="s">
        <v>168</v>
      </c>
      <c r="H908" s="3" t="s">
        <v>18</v>
      </c>
      <c r="I908" s="3">
        <v>22</v>
      </c>
      <c r="J908" s="3"/>
      <c r="K908" s="3" t="s">
        <v>19</v>
      </c>
      <c r="L908" s="3">
        <v>4</v>
      </c>
      <c r="M908" s="4">
        <v>500</v>
      </c>
      <c r="N908">
        <f>L908 * M908</f>
        <v>2000</v>
      </c>
      <c r="O908" s="15">
        <f>N908 *$R$3</f>
        <v>30</v>
      </c>
    </row>
    <row r="909" spans="1:15" ht="15.75">
      <c r="A909" s="3">
        <v>597</v>
      </c>
      <c r="B909">
        <f>DAY(F909)</f>
        <v>22</v>
      </c>
      <c r="C909" t="str">
        <f>TEXT(F909, "mmmm")</f>
        <v>August</v>
      </c>
      <c r="D909" s="3">
        <f>MONTH(F909)</f>
        <v>8</v>
      </c>
      <c r="E909" s="3">
        <f>YEAR(F909)</f>
        <v>2023</v>
      </c>
      <c r="F909" s="2">
        <v>45160</v>
      </c>
      <c r="G909" s="3" t="s">
        <v>147</v>
      </c>
      <c r="H909" s="3" t="s">
        <v>18</v>
      </c>
      <c r="I909" s="3">
        <v>22</v>
      </c>
      <c r="J909" s="3"/>
      <c r="K909" s="3" t="s">
        <v>19</v>
      </c>
      <c r="L909" s="3">
        <v>4</v>
      </c>
      <c r="M909" s="4">
        <v>300</v>
      </c>
      <c r="N909">
        <f>L909 * M909</f>
        <v>1200</v>
      </c>
      <c r="O909" s="15">
        <f>N909 *$R$3</f>
        <v>18</v>
      </c>
    </row>
    <row r="910" spans="1:15" ht="15.75">
      <c r="A910" s="3">
        <v>606</v>
      </c>
      <c r="B910">
        <f>DAY(F910)</f>
        <v>5</v>
      </c>
      <c r="C910" t="str">
        <f>TEXT(F910, "mmmm")</f>
        <v>May</v>
      </c>
      <c r="D910" s="3">
        <f>MONTH(F910)</f>
        <v>5</v>
      </c>
      <c r="E910" s="3">
        <f>YEAR(F910)</f>
        <v>2023</v>
      </c>
      <c r="F910" s="2">
        <v>45051</v>
      </c>
      <c r="G910" s="3" t="s">
        <v>993</v>
      </c>
      <c r="H910" s="3" t="s">
        <v>18</v>
      </c>
      <c r="I910" s="3">
        <v>22</v>
      </c>
      <c r="J910" s="3"/>
      <c r="K910" s="3" t="s">
        <v>196</v>
      </c>
      <c r="L910" s="3">
        <v>1</v>
      </c>
      <c r="M910" s="4">
        <v>50</v>
      </c>
      <c r="N910">
        <f>L910 * M910</f>
        <v>50</v>
      </c>
      <c r="O910" s="15">
        <f>N910 *$R$3</f>
        <v>0.75</v>
      </c>
    </row>
    <row r="911" spans="1:15" ht="15.75">
      <c r="A911" s="3">
        <v>695</v>
      </c>
      <c r="B911">
        <f>DAY(F911)</f>
        <v>12</v>
      </c>
      <c r="C911" t="str">
        <f>TEXT(F911, "mmmm")</f>
        <v>August</v>
      </c>
      <c r="D911" s="3">
        <f>MONTH(F911)</f>
        <v>8</v>
      </c>
      <c r="E911" s="3">
        <f>YEAR(F911)</f>
        <v>2023</v>
      </c>
      <c r="F911" s="2">
        <v>45150</v>
      </c>
      <c r="G911" s="3" t="s">
        <v>994</v>
      </c>
      <c r="H911" s="3" t="s">
        <v>198</v>
      </c>
      <c r="I911" s="3">
        <v>22</v>
      </c>
      <c r="J911" s="3"/>
      <c r="K911" s="3" t="s">
        <v>196</v>
      </c>
      <c r="L911" s="3">
        <v>3</v>
      </c>
      <c r="M911" s="4">
        <v>50</v>
      </c>
      <c r="N911">
        <f>L911 * M911</f>
        <v>150</v>
      </c>
      <c r="O911" s="15">
        <f>N911 *$R$3</f>
        <v>2.25</v>
      </c>
    </row>
    <row r="912" spans="1:15" ht="15.75">
      <c r="A912" s="3">
        <v>836</v>
      </c>
      <c r="B912">
        <f>DAY(F912)</f>
        <v>19</v>
      </c>
      <c r="C912" t="str">
        <f>TEXT(F912, "mmmm")</f>
        <v>April</v>
      </c>
      <c r="D912" s="3">
        <f>MONTH(F912)</f>
        <v>4</v>
      </c>
      <c r="E912" s="3">
        <f>YEAR(F912)</f>
        <v>2023</v>
      </c>
      <c r="F912" s="2">
        <v>45035</v>
      </c>
      <c r="G912" s="3" t="s">
        <v>995</v>
      </c>
      <c r="H912" s="3" t="s">
        <v>198</v>
      </c>
      <c r="I912" s="3">
        <v>22</v>
      </c>
      <c r="J912" s="3"/>
      <c r="K912" s="3" t="s">
        <v>195</v>
      </c>
      <c r="L912" s="3">
        <v>1</v>
      </c>
      <c r="M912" s="4">
        <v>50</v>
      </c>
      <c r="N912">
        <f>L912 * M912</f>
        <v>50</v>
      </c>
      <c r="O912" s="15">
        <f>N912 *$R$3</f>
        <v>0.75</v>
      </c>
    </row>
    <row r="913" spans="1:15" ht="15.75">
      <c r="A913" s="3">
        <v>880</v>
      </c>
      <c r="B913">
        <f>DAY(F913)</f>
        <v>21</v>
      </c>
      <c r="C913" t="str">
        <f>TEXT(F913, "mmmm")</f>
        <v>August</v>
      </c>
      <c r="D913" s="3">
        <f>MONTH(F913)</f>
        <v>8</v>
      </c>
      <c r="E913" s="3">
        <f>YEAR(F913)</f>
        <v>2023</v>
      </c>
      <c r="F913" s="2">
        <v>45159</v>
      </c>
      <c r="G913" s="3" t="s">
        <v>136</v>
      </c>
      <c r="H913" s="3" t="s">
        <v>18</v>
      </c>
      <c r="I913" s="3">
        <v>22</v>
      </c>
      <c r="J913" s="3"/>
      <c r="K913" s="3" t="s">
        <v>19</v>
      </c>
      <c r="L913" s="3">
        <v>2</v>
      </c>
      <c r="M913" s="4">
        <v>500</v>
      </c>
      <c r="N913">
        <f>L913 * M913</f>
        <v>1000</v>
      </c>
      <c r="O913" s="15">
        <f>N913 *$R$3</f>
        <v>15</v>
      </c>
    </row>
    <row r="914" spans="1:15" ht="15.75">
      <c r="A914" s="3">
        <v>881</v>
      </c>
      <c r="B914">
        <f>DAY(F914)</f>
        <v>19</v>
      </c>
      <c r="C914" t="str">
        <f>TEXT(F914, "mmmm")</f>
        <v>May</v>
      </c>
      <c r="D914" s="3">
        <f>MONTH(F914)</f>
        <v>5</v>
      </c>
      <c r="E914" s="3">
        <f>YEAR(F914)</f>
        <v>2023</v>
      </c>
      <c r="F914" s="2">
        <v>45065</v>
      </c>
      <c r="G914" s="3" t="s">
        <v>996</v>
      </c>
      <c r="H914" s="3" t="s">
        <v>18</v>
      </c>
      <c r="I914" s="3">
        <v>22</v>
      </c>
      <c r="J914" s="3"/>
      <c r="K914" s="3" t="s">
        <v>196</v>
      </c>
      <c r="L914" s="3">
        <v>1</v>
      </c>
      <c r="M914" s="4">
        <v>300</v>
      </c>
      <c r="N914">
        <f>L914 * M914</f>
        <v>300</v>
      </c>
      <c r="O914" s="15">
        <f>N914 *$R$3</f>
        <v>4.5</v>
      </c>
    </row>
    <row r="915" spans="1:15" ht="15.75">
      <c r="A915" s="3">
        <v>919</v>
      </c>
      <c r="B915">
        <f>DAY(F915)</f>
        <v>9</v>
      </c>
      <c r="C915" t="str">
        <f>TEXT(F915, "mmmm")</f>
        <v>September</v>
      </c>
      <c r="D915" s="3">
        <f>MONTH(F915)</f>
        <v>9</v>
      </c>
      <c r="E915" s="3">
        <f>YEAR(F915)</f>
        <v>2023</v>
      </c>
      <c r="F915" s="2">
        <v>45178</v>
      </c>
      <c r="G915" s="3" t="s">
        <v>997</v>
      </c>
      <c r="H915" s="3" t="s">
        <v>198</v>
      </c>
      <c r="I915" s="3">
        <v>22</v>
      </c>
      <c r="J915" s="3"/>
      <c r="K915" s="3" t="s">
        <v>19</v>
      </c>
      <c r="L915" s="3">
        <v>2</v>
      </c>
      <c r="M915" s="4">
        <v>25</v>
      </c>
      <c r="N915">
        <f>L915 * M915</f>
        <v>50</v>
      </c>
      <c r="O915" s="15">
        <f>N915 *$R$3</f>
        <v>0.75</v>
      </c>
    </row>
    <row r="916" spans="1:15" ht="15.75">
      <c r="A916" s="3">
        <v>926</v>
      </c>
      <c r="B916">
        <f>DAY(F916)</f>
        <v>14</v>
      </c>
      <c r="C916" t="str">
        <f>TEXT(F916, "mmmm")</f>
        <v>August</v>
      </c>
      <c r="D916" s="3">
        <f>MONTH(F916)</f>
        <v>8</v>
      </c>
      <c r="E916" s="3">
        <f>YEAR(F916)</f>
        <v>2023</v>
      </c>
      <c r="F916" s="2">
        <v>45152</v>
      </c>
      <c r="G916" s="3" t="s">
        <v>998</v>
      </c>
      <c r="H916" s="3" t="s">
        <v>18</v>
      </c>
      <c r="I916" s="3">
        <v>22</v>
      </c>
      <c r="J916" s="3"/>
      <c r="K916" s="3" t="s">
        <v>196</v>
      </c>
      <c r="L916" s="3">
        <v>1</v>
      </c>
      <c r="M916" s="4">
        <v>30</v>
      </c>
      <c r="N916">
        <f>L916 * M916</f>
        <v>30</v>
      </c>
      <c r="O916" s="15">
        <f>N916 *$R$3</f>
        <v>0.44999999999999996</v>
      </c>
    </row>
    <row r="917" spans="1:15" ht="15.75">
      <c r="A917" s="3">
        <v>933</v>
      </c>
      <c r="B917">
        <f>DAY(F917)</f>
        <v>3</v>
      </c>
      <c r="C917" t="str">
        <f>TEXT(F917, "mmmm")</f>
        <v>February</v>
      </c>
      <c r="D917" s="3">
        <f>MONTH(F917)</f>
        <v>2</v>
      </c>
      <c r="E917" s="3">
        <f>YEAR(F917)</f>
        <v>2023</v>
      </c>
      <c r="F917" s="2">
        <v>44960</v>
      </c>
      <c r="G917" s="3" t="s">
        <v>34</v>
      </c>
      <c r="H917" s="3" t="s">
        <v>18</v>
      </c>
      <c r="I917" s="3">
        <v>22</v>
      </c>
      <c r="J917" s="3"/>
      <c r="K917" s="3" t="s">
        <v>19</v>
      </c>
      <c r="L917" s="3">
        <v>1</v>
      </c>
      <c r="M917" s="4">
        <v>30</v>
      </c>
      <c r="N917">
        <f>L917 * M917</f>
        <v>30</v>
      </c>
      <c r="O917" s="15">
        <f>N917 *$R$3</f>
        <v>0.44999999999999996</v>
      </c>
    </row>
    <row r="918" spans="1:15" ht="15.75">
      <c r="A918" s="3">
        <v>965</v>
      </c>
      <c r="B918">
        <f>DAY(F918)</f>
        <v>9</v>
      </c>
      <c r="C918" t="str">
        <f>TEXT(F918, "mmmm")</f>
        <v>November</v>
      </c>
      <c r="D918" s="3">
        <f>MONTH(F918)</f>
        <v>11</v>
      </c>
      <c r="E918" s="3">
        <f>YEAR(F918)</f>
        <v>2023</v>
      </c>
      <c r="F918" s="2">
        <v>45239</v>
      </c>
      <c r="G918" s="3" t="s">
        <v>999</v>
      </c>
      <c r="H918" s="3" t="s">
        <v>18</v>
      </c>
      <c r="I918" s="3">
        <v>22</v>
      </c>
      <c r="J918" s="3"/>
      <c r="K918" s="3" t="s">
        <v>195</v>
      </c>
      <c r="L918" s="3">
        <v>4</v>
      </c>
      <c r="M918" s="4">
        <v>50</v>
      </c>
      <c r="N918">
        <f>L918 * M918</f>
        <v>200</v>
      </c>
      <c r="O918" s="15">
        <f>N918 *$R$3</f>
        <v>3</v>
      </c>
    </row>
    <row r="919" spans="1:15" ht="15.75">
      <c r="A919" s="3">
        <v>61</v>
      </c>
      <c r="B919">
        <f>DAY(F919)</f>
        <v>9</v>
      </c>
      <c r="C919" t="str">
        <f>TEXT(F919, "mmmm")</f>
        <v>April</v>
      </c>
      <c r="D919" s="3">
        <f>MONTH(F919)</f>
        <v>4</v>
      </c>
      <c r="E919" s="3">
        <f>YEAR(F919)</f>
        <v>2023</v>
      </c>
      <c r="F919" s="2">
        <v>45025</v>
      </c>
      <c r="G919" s="3" t="s">
        <v>112</v>
      </c>
      <c r="H919" s="3" t="s">
        <v>18</v>
      </c>
      <c r="I919" s="3">
        <v>21</v>
      </c>
      <c r="J919" s="3"/>
      <c r="K919" s="3" t="s">
        <v>19</v>
      </c>
      <c r="L919" s="3">
        <v>4</v>
      </c>
      <c r="M919" s="4">
        <v>50</v>
      </c>
      <c r="N919">
        <f>L919 * M919</f>
        <v>200</v>
      </c>
      <c r="O919" s="15">
        <f>N919 *$R$3</f>
        <v>3</v>
      </c>
    </row>
    <row r="920" spans="1:15" ht="15.75">
      <c r="A920" s="3">
        <v>107</v>
      </c>
      <c r="B920">
        <f>DAY(F920)</f>
        <v>3</v>
      </c>
      <c r="C920" t="str">
        <f>TEXT(F920, "mmmm")</f>
        <v>February</v>
      </c>
      <c r="D920" s="3">
        <f>MONTH(F920)</f>
        <v>2</v>
      </c>
      <c r="E920" s="3">
        <f>YEAR(F920)</f>
        <v>2023</v>
      </c>
      <c r="F920" s="2">
        <v>44960</v>
      </c>
      <c r="G920" s="3" t="s">
        <v>1000</v>
      </c>
      <c r="H920" s="3" t="s">
        <v>198</v>
      </c>
      <c r="I920" s="3">
        <v>21</v>
      </c>
      <c r="J920" s="3"/>
      <c r="K920" s="3" t="s">
        <v>195</v>
      </c>
      <c r="L920" s="3">
        <v>4</v>
      </c>
      <c r="M920" s="4">
        <v>300</v>
      </c>
      <c r="N920">
        <f>L920 * M920</f>
        <v>1200</v>
      </c>
      <c r="O920" s="15">
        <f>N920 *$R$3</f>
        <v>18</v>
      </c>
    </row>
    <row r="921" spans="1:15" ht="15.75">
      <c r="A921" s="3">
        <v>129</v>
      </c>
      <c r="B921">
        <f>DAY(F921)</f>
        <v>23</v>
      </c>
      <c r="C921" t="str">
        <f>TEXT(F921, "mmmm")</f>
        <v>April</v>
      </c>
      <c r="D921" s="3">
        <f>MONTH(F921)</f>
        <v>4</v>
      </c>
      <c r="E921" s="3">
        <f>YEAR(F921)</f>
        <v>2023</v>
      </c>
      <c r="F921" s="2">
        <v>45039</v>
      </c>
      <c r="G921" s="3" t="s">
        <v>1001</v>
      </c>
      <c r="H921" s="3" t="s">
        <v>198</v>
      </c>
      <c r="I921" s="3">
        <v>21</v>
      </c>
      <c r="J921" s="3"/>
      <c r="K921" s="3" t="s">
        <v>19</v>
      </c>
      <c r="L921" s="3">
        <v>2</v>
      </c>
      <c r="M921" s="4">
        <v>300</v>
      </c>
      <c r="N921">
        <f>L921 * M921</f>
        <v>600</v>
      </c>
      <c r="O921" s="15">
        <f>N921 *$R$3</f>
        <v>9</v>
      </c>
    </row>
    <row r="922" spans="1:15" ht="15.75">
      <c r="A922" s="3">
        <v>131</v>
      </c>
      <c r="B922">
        <f>DAY(F922)</f>
        <v>18</v>
      </c>
      <c r="C922" t="str">
        <f>TEXT(F922, "mmmm")</f>
        <v>September</v>
      </c>
      <c r="D922" s="3">
        <f>MONTH(F922)</f>
        <v>9</v>
      </c>
      <c r="E922" s="3">
        <f>YEAR(F922)</f>
        <v>2023</v>
      </c>
      <c r="F922" s="2">
        <v>45187</v>
      </c>
      <c r="G922" s="3" t="s">
        <v>1002</v>
      </c>
      <c r="H922" s="3" t="s">
        <v>198</v>
      </c>
      <c r="I922" s="3">
        <v>21</v>
      </c>
      <c r="J922" s="3"/>
      <c r="K922" s="3" t="s">
        <v>19</v>
      </c>
      <c r="L922" s="3">
        <v>2</v>
      </c>
      <c r="M922" s="4">
        <v>300</v>
      </c>
      <c r="N922">
        <f>L922 * M922</f>
        <v>600</v>
      </c>
      <c r="O922" s="15">
        <f>N922 *$R$3</f>
        <v>9</v>
      </c>
    </row>
    <row r="923" spans="1:15" ht="15.75">
      <c r="A923" s="3">
        <v>212</v>
      </c>
      <c r="B923">
        <f>DAY(F923)</f>
        <v>9</v>
      </c>
      <c r="C923" t="str">
        <f>TEXT(F923, "mmmm")</f>
        <v>June</v>
      </c>
      <c r="D923" s="3">
        <f>MONTH(F923)</f>
        <v>6</v>
      </c>
      <c r="E923" s="3">
        <f>YEAR(F923)</f>
        <v>2023</v>
      </c>
      <c r="F923" s="2">
        <v>45086</v>
      </c>
      <c r="G923" s="3" t="s">
        <v>1003</v>
      </c>
      <c r="H923" s="3" t="s">
        <v>18</v>
      </c>
      <c r="I923" s="3">
        <v>21</v>
      </c>
      <c r="J923" s="3"/>
      <c r="K923" s="3" t="s">
        <v>195</v>
      </c>
      <c r="L923" s="3">
        <v>3</v>
      </c>
      <c r="M923" s="4">
        <v>500</v>
      </c>
      <c r="N923">
        <f>L923 * M923</f>
        <v>1500</v>
      </c>
      <c r="O923" s="15">
        <f>N923 *$R$3</f>
        <v>22.5</v>
      </c>
    </row>
    <row r="924" spans="1:15" ht="15.75">
      <c r="A924" s="3">
        <v>242</v>
      </c>
      <c r="B924">
        <f>DAY(F924)</f>
        <v>2</v>
      </c>
      <c r="C924" t="str">
        <f>TEXT(F924, "mmmm")</f>
        <v>May</v>
      </c>
      <c r="D924" s="3">
        <f>MONTH(F924)</f>
        <v>5</v>
      </c>
      <c r="E924" s="3">
        <f>YEAR(F924)</f>
        <v>2023</v>
      </c>
      <c r="F924" s="2">
        <v>45048</v>
      </c>
      <c r="G924" s="3" t="s">
        <v>1004</v>
      </c>
      <c r="H924" s="3" t="s">
        <v>18</v>
      </c>
      <c r="I924" s="3">
        <v>21</v>
      </c>
      <c r="J924" s="3"/>
      <c r="K924" s="3" t="s">
        <v>195</v>
      </c>
      <c r="L924" s="3">
        <v>1</v>
      </c>
      <c r="M924" s="4">
        <v>25</v>
      </c>
      <c r="N924">
        <f>L924 * M924</f>
        <v>25</v>
      </c>
      <c r="O924" s="15">
        <f>N924 *$R$3</f>
        <v>0.375</v>
      </c>
    </row>
    <row r="925" spans="1:15" ht="15.75">
      <c r="A925" s="3">
        <v>261</v>
      </c>
      <c r="B925">
        <f>DAY(F925)</f>
        <v>5</v>
      </c>
      <c r="C925" t="str">
        <f>TEXT(F925, "mmmm")</f>
        <v>August</v>
      </c>
      <c r="D925" s="3">
        <f>MONTH(F925)</f>
        <v>8</v>
      </c>
      <c r="E925" s="3">
        <f>YEAR(F925)</f>
        <v>2023</v>
      </c>
      <c r="F925" s="2">
        <v>45143</v>
      </c>
      <c r="G925" s="3" t="s">
        <v>1005</v>
      </c>
      <c r="H925" s="3" t="s">
        <v>18</v>
      </c>
      <c r="I925" s="3">
        <v>21</v>
      </c>
      <c r="J925" s="3"/>
      <c r="K925" s="3" t="s">
        <v>195</v>
      </c>
      <c r="L925" s="3">
        <v>2</v>
      </c>
      <c r="M925" s="4">
        <v>25</v>
      </c>
      <c r="N925">
        <f>L925 * M925</f>
        <v>50</v>
      </c>
      <c r="O925" s="15">
        <f>N925 *$R$3</f>
        <v>0.75</v>
      </c>
    </row>
    <row r="926" spans="1:15" ht="15.75">
      <c r="A926" s="3">
        <v>276</v>
      </c>
      <c r="B926">
        <f>DAY(F926)</f>
        <v>2</v>
      </c>
      <c r="C926" t="str">
        <f>TEXT(F926, "mmmm")</f>
        <v>October</v>
      </c>
      <c r="D926" s="3">
        <f>MONTH(F926)</f>
        <v>10</v>
      </c>
      <c r="E926" s="3">
        <f>YEAR(F926)</f>
        <v>2023</v>
      </c>
      <c r="F926" s="2">
        <v>45201</v>
      </c>
      <c r="G926" s="3" t="s">
        <v>1006</v>
      </c>
      <c r="H926" s="3" t="s">
        <v>198</v>
      </c>
      <c r="I926" s="3">
        <v>21</v>
      </c>
      <c r="J926" s="3"/>
      <c r="K926" s="3" t="s">
        <v>19</v>
      </c>
      <c r="L926" s="3">
        <v>4</v>
      </c>
      <c r="M926" s="4">
        <v>25</v>
      </c>
      <c r="N926">
        <f>L926 * M926</f>
        <v>100</v>
      </c>
      <c r="O926" s="15">
        <f>N926 *$R$3</f>
        <v>1.5</v>
      </c>
    </row>
    <row r="927" spans="1:15" ht="15.75">
      <c r="A927" s="3">
        <v>343</v>
      </c>
      <c r="B927">
        <f>DAY(F927)</f>
        <v>1</v>
      </c>
      <c r="C927" t="str">
        <f>TEXT(F927, "mmmm")</f>
        <v>November</v>
      </c>
      <c r="D927" s="3">
        <f>MONTH(F927)</f>
        <v>11</v>
      </c>
      <c r="E927" s="3">
        <f>YEAR(F927)</f>
        <v>2023</v>
      </c>
      <c r="F927" s="2">
        <v>45231</v>
      </c>
      <c r="G927" s="3" t="s">
        <v>1007</v>
      </c>
      <c r="H927" s="3" t="s">
        <v>18</v>
      </c>
      <c r="I927" s="3">
        <v>21</v>
      </c>
      <c r="J927" s="3"/>
      <c r="K927" s="3" t="s">
        <v>196</v>
      </c>
      <c r="L927" s="3">
        <v>2</v>
      </c>
      <c r="M927" s="4">
        <v>25</v>
      </c>
      <c r="N927">
        <f>L927 * M927</f>
        <v>50</v>
      </c>
      <c r="O927" s="15">
        <f>N927 *$R$3</f>
        <v>0.75</v>
      </c>
    </row>
    <row r="928" spans="1:15" ht="15.75">
      <c r="A928" s="3">
        <v>389</v>
      </c>
      <c r="B928">
        <f>DAY(F928)</f>
        <v>1</v>
      </c>
      <c r="C928" t="str">
        <f>TEXT(F928, "mmmm")</f>
        <v>December</v>
      </c>
      <c r="D928" s="3">
        <f>MONTH(F928)</f>
        <v>12</v>
      </c>
      <c r="E928" s="3">
        <f>YEAR(F928)</f>
        <v>2023</v>
      </c>
      <c r="F928" s="2">
        <v>45261</v>
      </c>
      <c r="G928" s="3" t="s">
        <v>1008</v>
      </c>
      <c r="H928" s="3" t="s">
        <v>18</v>
      </c>
      <c r="I928" s="3">
        <v>21</v>
      </c>
      <c r="J928" s="3"/>
      <c r="K928" s="3" t="s">
        <v>195</v>
      </c>
      <c r="L928" s="3">
        <v>2</v>
      </c>
      <c r="M928" s="4">
        <v>25</v>
      </c>
      <c r="N928">
        <f>L928 * M928</f>
        <v>50</v>
      </c>
      <c r="O928" s="15">
        <f>N928 *$R$3</f>
        <v>0.75</v>
      </c>
    </row>
    <row r="929" spans="1:15" ht="15.75">
      <c r="A929" s="3">
        <v>409</v>
      </c>
      <c r="B929">
        <f>DAY(F929)</f>
        <v>18</v>
      </c>
      <c r="C929" t="str">
        <f>TEXT(F929, "mmmm")</f>
        <v>December</v>
      </c>
      <c r="D929" s="3">
        <f>MONTH(F929)</f>
        <v>12</v>
      </c>
      <c r="E929" s="3">
        <f>YEAR(F929)</f>
        <v>2023</v>
      </c>
      <c r="F929" s="2">
        <v>45278</v>
      </c>
      <c r="G929" s="3" t="s">
        <v>1009</v>
      </c>
      <c r="H929" s="3" t="s">
        <v>198</v>
      </c>
      <c r="I929" s="3">
        <v>21</v>
      </c>
      <c r="J929" s="3"/>
      <c r="K929" s="3" t="s">
        <v>196</v>
      </c>
      <c r="L929" s="3">
        <v>3</v>
      </c>
      <c r="M929" s="4">
        <v>300</v>
      </c>
      <c r="N929">
        <f>L929 * M929</f>
        <v>900</v>
      </c>
      <c r="O929" s="15">
        <f>N929 *$R$3</f>
        <v>13.5</v>
      </c>
    </row>
    <row r="930" spans="1:15" ht="15.75">
      <c r="A930" s="3">
        <v>446</v>
      </c>
      <c r="B930">
        <f>DAY(F930)</f>
        <v>7</v>
      </c>
      <c r="C930" t="str">
        <f>TEXT(F930, "mmmm")</f>
        <v>June</v>
      </c>
      <c r="D930" s="3">
        <f>MONTH(F930)</f>
        <v>6</v>
      </c>
      <c r="E930" s="3">
        <f>YEAR(F930)</f>
        <v>2023</v>
      </c>
      <c r="F930" s="2">
        <v>45084</v>
      </c>
      <c r="G930" s="3" t="s">
        <v>1010</v>
      </c>
      <c r="H930" s="3" t="s">
        <v>18</v>
      </c>
      <c r="I930" s="3">
        <v>21</v>
      </c>
      <c r="J930" s="3"/>
      <c r="K930" s="3" t="s">
        <v>196</v>
      </c>
      <c r="L930" s="3">
        <v>1</v>
      </c>
      <c r="M930" s="4">
        <v>50</v>
      </c>
      <c r="N930">
        <f>L930 * M930</f>
        <v>50</v>
      </c>
      <c r="O930" s="15">
        <f>N930 *$R$3</f>
        <v>0.75</v>
      </c>
    </row>
    <row r="931" spans="1:15" ht="15.75">
      <c r="A931" s="3">
        <v>537</v>
      </c>
      <c r="B931">
        <f>DAY(F931)</f>
        <v>3</v>
      </c>
      <c r="C931" t="str">
        <f>TEXT(F931, "mmmm")</f>
        <v>June</v>
      </c>
      <c r="D931" s="3">
        <f>MONTH(F931)</f>
        <v>6</v>
      </c>
      <c r="E931" s="3">
        <f>YEAR(F931)</f>
        <v>2023</v>
      </c>
      <c r="F931" s="2">
        <v>45080</v>
      </c>
      <c r="G931" s="3" t="s">
        <v>1011</v>
      </c>
      <c r="H931" s="3" t="s">
        <v>198</v>
      </c>
      <c r="I931" s="3">
        <v>21</v>
      </c>
      <c r="J931" s="3"/>
      <c r="K931" s="3" t="s">
        <v>19</v>
      </c>
      <c r="L931" s="3">
        <v>1</v>
      </c>
      <c r="M931" s="4">
        <v>500</v>
      </c>
      <c r="N931">
        <f>L931 * M931</f>
        <v>500</v>
      </c>
      <c r="O931" s="15">
        <f>N931 *$R$3</f>
        <v>7.5</v>
      </c>
    </row>
    <row r="932" spans="1:15" ht="15.75">
      <c r="A932" s="3">
        <v>577</v>
      </c>
      <c r="B932">
        <f>DAY(F932)</f>
        <v>13</v>
      </c>
      <c r="C932" t="str">
        <f>TEXT(F932, "mmmm")</f>
        <v>February</v>
      </c>
      <c r="D932" s="3">
        <f>MONTH(F932)</f>
        <v>2</v>
      </c>
      <c r="E932" s="3">
        <f>YEAR(F932)</f>
        <v>2023</v>
      </c>
      <c r="F932" s="2">
        <v>44970</v>
      </c>
      <c r="G932" s="3" t="s">
        <v>166</v>
      </c>
      <c r="H932" s="3" t="s">
        <v>18</v>
      </c>
      <c r="I932" s="3">
        <v>21</v>
      </c>
      <c r="J932" s="3"/>
      <c r="K932" s="3" t="s">
        <v>19</v>
      </c>
      <c r="L932" s="3">
        <v>4</v>
      </c>
      <c r="M932" s="4">
        <v>500</v>
      </c>
      <c r="N932">
        <f>L932 * M932</f>
        <v>2000</v>
      </c>
      <c r="O932" s="15">
        <f>N932 *$R$3</f>
        <v>30</v>
      </c>
    </row>
    <row r="933" spans="1:15" ht="15.75">
      <c r="A933" s="3">
        <v>636</v>
      </c>
      <c r="B933">
        <f>DAY(F933)</f>
        <v>23</v>
      </c>
      <c r="C933" t="str">
        <f>TEXT(F933, "mmmm")</f>
        <v>March</v>
      </c>
      <c r="D933" s="3">
        <f>MONTH(F933)</f>
        <v>3</v>
      </c>
      <c r="E933" s="3">
        <f>YEAR(F933)</f>
        <v>2023</v>
      </c>
      <c r="F933" s="2">
        <v>45008</v>
      </c>
      <c r="G933" s="3" t="s">
        <v>1012</v>
      </c>
      <c r="H933" s="3" t="s">
        <v>198</v>
      </c>
      <c r="I933" s="3">
        <v>21</v>
      </c>
      <c r="J933" s="3"/>
      <c r="K933" s="3" t="s">
        <v>19</v>
      </c>
      <c r="L933" s="3">
        <v>3</v>
      </c>
      <c r="M933" s="4">
        <v>500</v>
      </c>
      <c r="N933">
        <f>L933 * M933</f>
        <v>1500</v>
      </c>
      <c r="O933" s="15">
        <f>N933 *$R$3</f>
        <v>22.5</v>
      </c>
    </row>
    <row r="934" spans="1:15" ht="15.75">
      <c r="A934" s="3">
        <v>801</v>
      </c>
      <c r="B934">
        <f>DAY(F934)</f>
        <v>10</v>
      </c>
      <c r="C934" t="str">
        <f>TEXT(F934, "mmmm")</f>
        <v>August</v>
      </c>
      <c r="D934" s="3">
        <f>MONTH(F934)</f>
        <v>8</v>
      </c>
      <c r="E934" s="3">
        <f>YEAR(F934)</f>
        <v>2023</v>
      </c>
      <c r="F934" s="2">
        <v>45148</v>
      </c>
      <c r="G934" s="3" t="s">
        <v>1013</v>
      </c>
      <c r="H934" s="3" t="s">
        <v>18</v>
      </c>
      <c r="I934" s="3">
        <v>21</v>
      </c>
      <c r="J934" s="3"/>
      <c r="K934" s="3" t="s">
        <v>195</v>
      </c>
      <c r="L934" s="3">
        <v>4</v>
      </c>
      <c r="M934" s="4">
        <v>50</v>
      </c>
      <c r="N934">
        <f>L934 * M934</f>
        <v>200</v>
      </c>
      <c r="O934" s="15">
        <f>N934 *$R$3</f>
        <v>3</v>
      </c>
    </row>
    <row r="935" spans="1:15" ht="15.75">
      <c r="A935" s="3">
        <v>843</v>
      </c>
      <c r="B935">
        <f>DAY(F935)</f>
        <v>22</v>
      </c>
      <c r="C935" t="str">
        <f>TEXT(F935, "mmmm")</f>
        <v>May</v>
      </c>
      <c r="D935" s="3">
        <f>MONTH(F935)</f>
        <v>5</v>
      </c>
      <c r="E935" s="3">
        <f>YEAR(F935)</f>
        <v>2023</v>
      </c>
      <c r="F935" s="2">
        <v>45068</v>
      </c>
      <c r="G935" s="3" t="s">
        <v>154</v>
      </c>
      <c r="H935" s="3" t="s">
        <v>18</v>
      </c>
      <c r="I935" s="3">
        <v>21</v>
      </c>
      <c r="J935" s="3"/>
      <c r="K935" s="3" t="s">
        <v>19</v>
      </c>
      <c r="L935" s="3">
        <v>3</v>
      </c>
      <c r="M935" s="4">
        <v>500</v>
      </c>
      <c r="N935">
        <f>L935 * M935</f>
        <v>1500</v>
      </c>
      <c r="O935" s="15">
        <f>N935 *$R$3</f>
        <v>22.5</v>
      </c>
    </row>
    <row r="936" spans="1:15" ht="15.75">
      <c r="A936" s="3">
        <v>853</v>
      </c>
      <c r="B936">
        <f>DAY(F936)</f>
        <v>4</v>
      </c>
      <c r="C936" t="str">
        <f>TEXT(F936, "mmmm")</f>
        <v>May</v>
      </c>
      <c r="D936" s="3">
        <f>MONTH(F936)</f>
        <v>5</v>
      </c>
      <c r="E936" s="3">
        <f>YEAR(F936)</f>
        <v>2023</v>
      </c>
      <c r="F936" s="2">
        <v>45050</v>
      </c>
      <c r="G936" s="3" t="s">
        <v>137</v>
      </c>
      <c r="H936" s="3" t="s">
        <v>18</v>
      </c>
      <c r="I936" s="3">
        <v>21</v>
      </c>
      <c r="J936" s="3"/>
      <c r="K936" s="3" t="s">
        <v>19</v>
      </c>
      <c r="L936" s="3">
        <v>2</v>
      </c>
      <c r="M936" s="4">
        <v>500</v>
      </c>
      <c r="N936">
        <f>L936 * M936</f>
        <v>1000</v>
      </c>
      <c r="O936" s="15">
        <f>N936 *$R$3</f>
        <v>15</v>
      </c>
    </row>
    <row r="937" spans="1:15" ht="15.75">
      <c r="A937" s="3">
        <v>867</v>
      </c>
      <c r="B937">
        <f>DAY(F937)</f>
        <v>6</v>
      </c>
      <c r="C937" t="str">
        <f>TEXT(F937, "mmmm")</f>
        <v>June</v>
      </c>
      <c r="D937" s="3">
        <f>MONTH(F937)</f>
        <v>6</v>
      </c>
      <c r="E937" s="3">
        <f>YEAR(F937)</f>
        <v>2023</v>
      </c>
      <c r="F937" s="2">
        <v>45083</v>
      </c>
      <c r="G937" s="3" t="s">
        <v>1014</v>
      </c>
      <c r="H937" s="3" t="s">
        <v>18</v>
      </c>
      <c r="I937" s="3">
        <v>21</v>
      </c>
      <c r="J937" s="3"/>
      <c r="K937" s="3" t="s">
        <v>196</v>
      </c>
      <c r="L937" s="3">
        <v>1</v>
      </c>
      <c r="M937" s="4">
        <v>500</v>
      </c>
      <c r="N937">
        <f>L937 * M937</f>
        <v>500</v>
      </c>
      <c r="O937" s="15">
        <f>N937 *$R$3</f>
        <v>7.5</v>
      </c>
    </row>
    <row r="938" spans="1:15" ht="15.75">
      <c r="A938" s="3">
        <v>900</v>
      </c>
      <c r="B938">
        <f>DAY(F938)</f>
        <v>21</v>
      </c>
      <c r="C938" t="str">
        <f>TEXT(F938, "mmmm")</f>
        <v>February</v>
      </c>
      <c r="D938" s="3">
        <f>MONTH(F938)</f>
        <v>2</v>
      </c>
      <c r="E938" s="3">
        <f>YEAR(F938)</f>
        <v>2023</v>
      </c>
      <c r="F938" s="2">
        <v>44978</v>
      </c>
      <c r="G938" s="3" t="s">
        <v>1015</v>
      </c>
      <c r="H938" s="3" t="s">
        <v>18</v>
      </c>
      <c r="I938" s="3">
        <v>21</v>
      </c>
      <c r="J938" s="3"/>
      <c r="K938" s="3" t="s">
        <v>195</v>
      </c>
      <c r="L938" s="3">
        <v>2</v>
      </c>
      <c r="M938" s="4">
        <v>30</v>
      </c>
      <c r="N938">
        <f>L938 * M938</f>
        <v>60</v>
      </c>
      <c r="O938" s="15">
        <f>N938 *$R$3</f>
        <v>0.89999999999999991</v>
      </c>
    </row>
    <row r="939" spans="1:15" ht="15.75">
      <c r="A939" s="3">
        <v>46</v>
      </c>
      <c r="B939">
        <f>DAY(F939)</f>
        <v>26</v>
      </c>
      <c r="C939" t="str">
        <f>TEXT(F939, "mmmm")</f>
        <v>June</v>
      </c>
      <c r="D939" s="3">
        <f>MONTH(F939)</f>
        <v>6</v>
      </c>
      <c r="E939" s="3">
        <f>YEAR(F939)</f>
        <v>2023</v>
      </c>
      <c r="F939" s="2">
        <v>45103</v>
      </c>
      <c r="G939" s="3" t="s">
        <v>1016</v>
      </c>
      <c r="H939" s="3" t="s">
        <v>198</v>
      </c>
      <c r="I939" s="3">
        <v>20</v>
      </c>
      <c r="J939" s="3"/>
      <c r="K939" s="3" t="s">
        <v>196</v>
      </c>
      <c r="L939" s="3">
        <v>4</v>
      </c>
      <c r="M939" s="4">
        <v>300</v>
      </c>
      <c r="N939">
        <f>L939 * M939</f>
        <v>1200</v>
      </c>
      <c r="O939" s="15">
        <f>N939 *$R$3</f>
        <v>18</v>
      </c>
    </row>
    <row r="940" spans="1:15" ht="15.75">
      <c r="A940" s="3">
        <v>72</v>
      </c>
      <c r="B940">
        <f>DAY(F940)</f>
        <v>23</v>
      </c>
      <c r="C940" t="str">
        <f>TEXT(F940, "mmmm")</f>
        <v>May</v>
      </c>
      <c r="D940" s="3">
        <f>MONTH(F940)</f>
        <v>5</v>
      </c>
      <c r="E940" s="3">
        <f>YEAR(F940)</f>
        <v>2023</v>
      </c>
      <c r="F940" s="2">
        <v>45069</v>
      </c>
      <c r="G940" s="3" t="s">
        <v>1017</v>
      </c>
      <c r="H940" s="3" t="s">
        <v>198</v>
      </c>
      <c r="I940" s="3">
        <v>20</v>
      </c>
      <c r="J940" s="3"/>
      <c r="K940" s="3" t="s">
        <v>196</v>
      </c>
      <c r="L940" s="3">
        <v>4</v>
      </c>
      <c r="M940" s="4">
        <v>500</v>
      </c>
      <c r="N940">
        <f>L940 * M940</f>
        <v>2000</v>
      </c>
      <c r="O940" s="15">
        <f>N940 *$R$3</f>
        <v>30</v>
      </c>
    </row>
    <row r="941" spans="1:15" ht="15.75">
      <c r="A941" s="3">
        <v>133</v>
      </c>
      <c r="B941">
        <f>DAY(F941)</f>
        <v>16</v>
      </c>
      <c r="C941" t="str">
        <f>TEXT(F941, "mmmm")</f>
        <v>February</v>
      </c>
      <c r="D941" s="3">
        <f>MONTH(F941)</f>
        <v>2</v>
      </c>
      <c r="E941" s="3">
        <f>YEAR(F941)</f>
        <v>2023</v>
      </c>
      <c r="F941" s="2">
        <v>44973</v>
      </c>
      <c r="G941" s="3" t="s">
        <v>1018</v>
      </c>
      <c r="H941" s="3" t="s">
        <v>18</v>
      </c>
      <c r="I941" s="3">
        <v>20</v>
      </c>
      <c r="J941" s="3"/>
      <c r="K941" s="3" t="s">
        <v>196</v>
      </c>
      <c r="L941" s="3">
        <v>3</v>
      </c>
      <c r="M941" s="4">
        <v>300</v>
      </c>
      <c r="N941">
        <f>L941 * M941</f>
        <v>900</v>
      </c>
      <c r="O941" s="15">
        <f>N941 *$R$3</f>
        <v>13.5</v>
      </c>
    </row>
    <row r="942" spans="1:15" ht="15.75">
      <c r="A942" s="3">
        <v>135</v>
      </c>
      <c r="B942">
        <f>DAY(F942)</f>
        <v>26</v>
      </c>
      <c r="C942" t="str">
        <f>TEXT(F942, "mmmm")</f>
        <v>February</v>
      </c>
      <c r="D942" s="3">
        <f>MONTH(F942)</f>
        <v>2</v>
      </c>
      <c r="E942" s="3">
        <f>YEAR(F942)</f>
        <v>2023</v>
      </c>
      <c r="F942" s="2">
        <v>44983</v>
      </c>
      <c r="G942" s="3" t="s">
        <v>1019</v>
      </c>
      <c r="H942" s="3" t="s">
        <v>18</v>
      </c>
      <c r="I942" s="3">
        <v>20</v>
      </c>
      <c r="J942" s="3"/>
      <c r="K942" s="3" t="s">
        <v>195</v>
      </c>
      <c r="L942" s="3">
        <v>2</v>
      </c>
      <c r="M942" s="4">
        <v>25</v>
      </c>
      <c r="N942">
        <f>L942 * M942</f>
        <v>50</v>
      </c>
      <c r="O942" s="15">
        <f>N942 *$R$3</f>
        <v>0.75</v>
      </c>
    </row>
    <row r="943" spans="1:15" ht="15.75">
      <c r="A943" s="3">
        <v>186</v>
      </c>
      <c r="B943">
        <f>DAY(F943)</f>
        <v>5</v>
      </c>
      <c r="C943" t="str">
        <f>TEXT(F943, "mmmm")</f>
        <v>July</v>
      </c>
      <c r="D943" s="3">
        <f>MONTH(F943)</f>
        <v>7</v>
      </c>
      <c r="E943" s="3">
        <f>YEAR(F943)</f>
        <v>2023</v>
      </c>
      <c r="F943" s="2">
        <v>45112</v>
      </c>
      <c r="G943" s="3" t="s">
        <v>1020</v>
      </c>
      <c r="H943" s="3" t="s">
        <v>18</v>
      </c>
      <c r="I943" s="3">
        <v>20</v>
      </c>
      <c r="J943" s="3"/>
      <c r="K943" s="3" t="s">
        <v>195</v>
      </c>
      <c r="L943" s="3">
        <v>4</v>
      </c>
      <c r="M943" s="4">
        <v>50</v>
      </c>
      <c r="N943">
        <f>L943 * M943</f>
        <v>200</v>
      </c>
      <c r="O943" s="15">
        <f>N943 *$R$3</f>
        <v>3</v>
      </c>
    </row>
    <row r="944" spans="1:15" ht="15.75">
      <c r="A944" s="3">
        <v>214</v>
      </c>
      <c r="B944">
        <f>DAY(F944)</f>
        <v>10</v>
      </c>
      <c r="C944" t="str">
        <f>TEXT(F944, "mmmm")</f>
        <v>December</v>
      </c>
      <c r="D944" s="3">
        <f>MONTH(F944)</f>
        <v>12</v>
      </c>
      <c r="E944" s="3">
        <f>YEAR(F944)</f>
        <v>2023</v>
      </c>
      <c r="F944" s="2">
        <v>45270</v>
      </c>
      <c r="G944" s="3" t="s">
        <v>63</v>
      </c>
      <c r="H944" s="3" t="s">
        <v>18</v>
      </c>
      <c r="I944" s="3">
        <v>20</v>
      </c>
      <c r="J944" s="3"/>
      <c r="K944" s="3" t="s">
        <v>19</v>
      </c>
      <c r="L944" s="3">
        <v>2</v>
      </c>
      <c r="M944" s="4">
        <v>30</v>
      </c>
      <c r="N944">
        <f>L944 * M944</f>
        <v>60</v>
      </c>
      <c r="O944" s="15">
        <f>N944 *$R$3</f>
        <v>0.89999999999999991</v>
      </c>
    </row>
    <row r="945" spans="1:15" ht="15.75">
      <c r="A945" s="3">
        <v>249</v>
      </c>
      <c r="B945">
        <f>DAY(F945)</f>
        <v>20</v>
      </c>
      <c r="C945" t="str">
        <f>TEXT(F945, "mmmm")</f>
        <v>October</v>
      </c>
      <c r="D945" s="3">
        <f>MONTH(F945)</f>
        <v>10</v>
      </c>
      <c r="E945" s="3">
        <f>YEAR(F945)</f>
        <v>2023</v>
      </c>
      <c r="F945" s="2">
        <v>45219</v>
      </c>
      <c r="G945" s="3" t="s">
        <v>1021</v>
      </c>
      <c r="H945" s="3" t="s">
        <v>18</v>
      </c>
      <c r="I945" s="3">
        <v>20</v>
      </c>
      <c r="J945" s="3"/>
      <c r="K945" s="3" t="s">
        <v>195</v>
      </c>
      <c r="L945" s="3">
        <v>1</v>
      </c>
      <c r="M945" s="4">
        <v>50</v>
      </c>
      <c r="N945">
        <f>L945 * M945</f>
        <v>50</v>
      </c>
      <c r="O945" s="15">
        <f>N945 *$R$3</f>
        <v>0.75</v>
      </c>
    </row>
    <row r="946" spans="1:15" ht="15.75">
      <c r="A946" s="3">
        <v>292</v>
      </c>
      <c r="B946">
        <f>DAY(F946)</f>
        <v>17</v>
      </c>
      <c r="C946" t="str">
        <f>TEXT(F946, "mmmm")</f>
        <v>February</v>
      </c>
      <c r="D946" s="3">
        <f>MONTH(F946)</f>
        <v>2</v>
      </c>
      <c r="E946" s="3">
        <f>YEAR(F946)</f>
        <v>2023</v>
      </c>
      <c r="F946" s="2">
        <v>44974</v>
      </c>
      <c r="G946" s="3" t="s">
        <v>152</v>
      </c>
      <c r="H946" s="3" t="s">
        <v>18</v>
      </c>
      <c r="I946" s="3">
        <v>20</v>
      </c>
      <c r="J946" s="3"/>
      <c r="K946" s="3" t="s">
        <v>19</v>
      </c>
      <c r="L946" s="3">
        <v>4</v>
      </c>
      <c r="M946" s="4">
        <v>300</v>
      </c>
      <c r="N946">
        <f>L946 * M946</f>
        <v>1200</v>
      </c>
      <c r="O946" s="15">
        <f>N946 *$R$3</f>
        <v>18</v>
      </c>
    </row>
    <row r="947" spans="1:15" ht="15.75">
      <c r="A947" s="3">
        <v>371</v>
      </c>
      <c r="B947">
        <f>DAY(F947)</f>
        <v>21</v>
      </c>
      <c r="C947" t="str">
        <f>TEXT(F947, "mmmm")</f>
        <v>February</v>
      </c>
      <c r="D947" s="3">
        <f>MONTH(F947)</f>
        <v>2</v>
      </c>
      <c r="E947" s="3">
        <f>YEAR(F947)</f>
        <v>2023</v>
      </c>
      <c r="F947" s="2">
        <v>44978</v>
      </c>
      <c r="G947" s="3" t="s">
        <v>1022</v>
      </c>
      <c r="H947" s="3" t="s">
        <v>198</v>
      </c>
      <c r="I947" s="3">
        <v>20</v>
      </c>
      <c r="J947" s="3"/>
      <c r="K947" s="3" t="s">
        <v>19</v>
      </c>
      <c r="L947" s="3">
        <v>1</v>
      </c>
      <c r="M947" s="4">
        <v>25</v>
      </c>
      <c r="N947">
        <f>L947 * M947</f>
        <v>25</v>
      </c>
      <c r="O947" s="15">
        <f>N947 *$R$3</f>
        <v>0.375</v>
      </c>
    </row>
    <row r="948" spans="1:15" ht="15.75">
      <c r="A948" s="3">
        <v>542</v>
      </c>
      <c r="B948">
        <f>DAY(F948)</f>
        <v>17</v>
      </c>
      <c r="C948" t="str">
        <f>TEXT(F948, "mmmm")</f>
        <v>June</v>
      </c>
      <c r="D948" s="3">
        <f>MONTH(F948)</f>
        <v>6</v>
      </c>
      <c r="E948" s="3">
        <f>YEAR(F948)</f>
        <v>2023</v>
      </c>
      <c r="F948" s="2">
        <v>45094</v>
      </c>
      <c r="G948" s="3" t="s">
        <v>1023</v>
      </c>
      <c r="H948" s="3" t="s">
        <v>198</v>
      </c>
      <c r="I948" s="3">
        <v>20</v>
      </c>
      <c r="J948" s="3"/>
      <c r="K948" s="3" t="s">
        <v>19</v>
      </c>
      <c r="L948" s="3">
        <v>1</v>
      </c>
      <c r="M948" s="4">
        <v>50</v>
      </c>
      <c r="N948">
        <f>L948 * M948</f>
        <v>50</v>
      </c>
      <c r="O948" s="15">
        <f>N948 *$R$3</f>
        <v>0.75</v>
      </c>
    </row>
    <row r="949" spans="1:15" ht="15.75">
      <c r="A949" s="3">
        <v>557</v>
      </c>
      <c r="B949">
        <f>DAY(F949)</f>
        <v>27</v>
      </c>
      <c r="C949" t="str">
        <f>TEXT(F949, "mmmm")</f>
        <v>July</v>
      </c>
      <c r="D949" s="3">
        <f>MONTH(F949)</f>
        <v>7</v>
      </c>
      <c r="E949" s="3">
        <f>YEAR(F949)</f>
        <v>2023</v>
      </c>
      <c r="F949" s="2">
        <v>45134</v>
      </c>
      <c r="G949" s="3" t="s">
        <v>1024</v>
      </c>
      <c r="H949" s="3" t="s">
        <v>198</v>
      </c>
      <c r="I949" s="3">
        <v>20</v>
      </c>
      <c r="J949" s="3"/>
      <c r="K949" s="3" t="s">
        <v>19</v>
      </c>
      <c r="L949" s="3">
        <v>3</v>
      </c>
      <c r="M949" s="4">
        <v>30</v>
      </c>
      <c r="N949">
        <f>L949 * M949</f>
        <v>90</v>
      </c>
      <c r="O949" s="15">
        <f>N949 *$R$3</f>
        <v>1.3499999999999999</v>
      </c>
    </row>
    <row r="950" spans="1:15" ht="15.75">
      <c r="A950" s="3">
        <v>563</v>
      </c>
      <c r="B950">
        <f>DAY(F950)</f>
        <v>9</v>
      </c>
      <c r="C950" t="str">
        <f>TEXT(F950, "mmmm")</f>
        <v>August</v>
      </c>
      <c r="D950" s="3">
        <f>MONTH(F950)</f>
        <v>8</v>
      </c>
      <c r="E950" s="3">
        <f>YEAR(F950)</f>
        <v>2023</v>
      </c>
      <c r="F950" s="2">
        <v>45147</v>
      </c>
      <c r="G950" s="3" t="s">
        <v>1025</v>
      </c>
      <c r="H950" s="3" t="s">
        <v>18</v>
      </c>
      <c r="I950" s="3">
        <v>20</v>
      </c>
      <c r="J950" s="3"/>
      <c r="K950" s="3" t="s">
        <v>195</v>
      </c>
      <c r="L950" s="3">
        <v>2</v>
      </c>
      <c r="M950" s="4">
        <v>30</v>
      </c>
      <c r="N950">
        <f>L950 * M950</f>
        <v>60</v>
      </c>
      <c r="O950" s="15">
        <f>N950 *$R$3</f>
        <v>0.89999999999999991</v>
      </c>
    </row>
    <row r="951" spans="1:15" ht="15.75">
      <c r="A951" s="3">
        <v>602</v>
      </c>
      <c r="B951">
        <f>DAY(F951)</f>
        <v>23</v>
      </c>
      <c r="C951" t="str">
        <f>TEXT(F951, "mmmm")</f>
        <v>December</v>
      </c>
      <c r="D951" s="3">
        <f>MONTH(F951)</f>
        <v>12</v>
      </c>
      <c r="E951" s="3">
        <f>YEAR(F951)</f>
        <v>2023</v>
      </c>
      <c r="F951" s="2">
        <v>45283</v>
      </c>
      <c r="G951" s="3" t="s">
        <v>1026</v>
      </c>
      <c r="H951" s="3" t="s">
        <v>198</v>
      </c>
      <c r="I951" s="3">
        <v>20</v>
      </c>
      <c r="J951" s="3"/>
      <c r="K951" s="3" t="s">
        <v>196</v>
      </c>
      <c r="L951" s="3">
        <v>1</v>
      </c>
      <c r="M951" s="4">
        <v>300</v>
      </c>
      <c r="N951">
        <f>L951 * M951</f>
        <v>300</v>
      </c>
      <c r="O951" s="15">
        <f>N951 *$R$3</f>
        <v>4.5</v>
      </c>
    </row>
    <row r="952" spans="1:15" ht="15.75">
      <c r="A952" s="3">
        <v>722</v>
      </c>
      <c r="B952">
        <f>DAY(F952)</f>
        <v>14</v>
      </c>
      <c r="C952" t="str">
        <f>TEXT(F952, "mmmm")</f>
        <v>July</v>
      </c>
      <c r="D952" s="3">
        <f>MONTH(F952)</f>
        <v>7</v>
      </c>
      <c r="E952" s="3">
        <f>YEAR(F952)</f>
        <v>2023</v>
      </c>
      <c r="F952" s="2">
        <v>45121</v>
      </c>
      <c r="G952" s="3" t="s">
        <v>135</v>
      </c>
      <c r="H952" s="3" t="s">
        <v>18</v>
      </c>
      <c r="I952" s="3">
        <v>20</v>
      </c>
      <c r="J952" s="3"/>
      <c r="K952" s="3" t="s">
        <v>19</v>
      </c>
      <c r="L952" s="3">
        <v>3</v>
      </c>
      <c r="M952" s="4">
        <v>300</v>
      </c>
      <c r="N952">
        <f>L952 * M952</f>
        <v>900</v>
      </c>
      <c r="O952" s="15">
        <f>N952 *$R$3</f>
        <v>13.5</v>
      </c>
    </row>
    <row r="953" spans="1:15" ht="15.75">
      <c r="A953" s="3">
        <v>792</v>
      </c>
      <c r="B953">
        <f>DAY(F953)</f>
        <v>9</v>
      </c>
      <c r="C953" t="str">
        <f>TEXT(F953, "mmmm")</f>
        <v>July</v>
      </c>
      <c r="D953" s="3">
        <f>MONTH(F953)</f>
        <v>7</v>
      </c>
      <c r="E953" s="3">
        <f>YEAR(F953)</f>
        <v>2023</v>
      </c>
      <c r="F953" s="2">
        <v>45116</v>
      </c>
      <c r="G953" s="3" t="s">
        <v>1027</v>
      </c>
      <c r="H953" s="3" t="s">
        <v>198</v>
      </c>
      <c r="I953" s="3">
        <v>20</v>
      </c>
      <c r="J953" s="3"/>
      <c r="K953" s="3" t="s">
        <v>19</v>
      </c>
      <c r="L953" s="3">
        <v>1</v>
      </c>
      <c r="M953" s="4">
        <v>50</v>
      </c>
      <c r="N953">
        <f>L953 * M953</f>
        <v>50</v>
      </c>
      <c r="O953" s="15">
        <f>N953 *$R$3</f>
        <v>0.75</v>
      </c>
    </row>
    <row r="954" spans="1:15" ht="15.75">
      <c r="A954" s="3">
        <v>839</v>
      </c>
      <c r="B954">
        <f>DAY(F954)</f>
        <v>24</v>
      </c>
      <c r="C954" t="str">
        <f>TEXT(F954, "mmmm")</f>
        <v>June</v>
      </c>
      <c r="D954" s="3">
        <f>MONTH(F954)</f>
        <v>6</v>
      </c>
      <c r="E954" s="3">
        <f>YEAR(F954)</f>
        <v>2023</v>
      </c>
      <c r="F954" s="2">
        <v>45101</v>
      </c>
      <c r="G954" s="3" t="s">
        <v>1028</v>
      </c>
      <c r="H954" s="3" t="s">
        <v>198</v>
      </c>
      <c r="I954" s="3">
        <v>20</v>
      </c>
      <c r="J954" s="3"/>
      <c r="K954" s="3" t="s">
        <v>196</v>
      </c>
      <c r="L954" s="3">
        <v>4</v>
      </c>
      <c r="M954" s="4">
        <v>300</v>
      </c>
      <c r="N954">
        <f>L954 * M954</f>
        <v>1200</v>
      </c>
      <c r="O954" s="15">
        <f>N954 *$R$3</f>
        <v>18</v>
      </c>
    </row>
    <row r="955" spans="1:15" ht="15.75">
      <c r="A955" s="3">
        <v>878</v>
      </c>
      <c r="B955">
        <f>DAY(F955)</f>
        <v>30</v>
      </c>
      <c r="C955" t="str">
        <f>TEXT(F955, "mmmm")</f>
        <v>June</v>
      </c>
      <c r="D955" s="3">
        <f>MONTH(F955)</f>
        <v>6</v>
      </c>
      <c r="E955" s="3">
        <f>YEAR(F955)</f>
        <v>2023</v>
      </c>
      <c r="F955" s="2">
        <v>45107</v>
      </c>
      <c r="G955" s="3" t="s">
        <v>1029</v>
      </c>
      <c r="H955" s="3" t="s">
        <v>198</v>
      </c>
      <c r="I955" s="3">
        <v>20</v>
      </c>
      <c r="J955" s="3"/>
      <c r="K955" s="3" t="s">
        <v>195</v>
      </c>
      <c r="L955" s="3">
        <v>1</v>
      </c>
      <c r="M955" s="4">
        <v>30</v>
      </c>
      <c r="N955">
        <f>L955 * M955</f>
        <v>30</v>
      </c>
      <c r="O955" s="15">
        <f>N955 *$R$3</f>
        <v>0.44999999999999996</v>
      </c>
    </row>
    <row r="956" spans="1:15" ht="15.75">
      <c r="A956" s="3">
        <v>892</v>
      </c>
      <c r="B956">
        <f>DAY(F956)</f>
        <v>9</v>
      </c>
      <c r="C956" t="str">
        <f>TEXT(F956, "mmmm")</f>
        <v>April</v>
      </c>
      <c r="D956" s="3">
        <f>MONTH(F956)</f>
        <v>4</v>
      </c>
      <c r="E956" s="3">
        <f>YEAR(F956)</f>
        <v>2023</v>
      </c>
      <c r="F956" s="2">
        <v>45025</v>
      </c>
      <c r="G956" s="3" t="s">
        <v>1030</v>
      </c>
      <c r="H956" s="3" t="s">
        <v>18</v>
      </c>
      <c r="I956" s="3">
        <v>20</v>
      </c>
      <c r="J956" s="3"/>
      <c r="K956" s="3" t="s">
        <v>196</v>
      </c>
      <c r="L956" s="3">
        <v>1</v>
      </c>
      <c r="M956" s="4">
        <v>50</v>
      </c>
      <c r="N956">
        <f>L956 * M956</f>
        <v>50</v>
      </c>
      <c r="O956" s="15">
        <f>N956 *$R$3</f>
        <v>0.75</v>
      </c>
    </row>
    <row r="957" spans="1:15" ht="15.75">
      <c r="A957" s="3">
        <v>906</v>
      </c>
      <c r="B957">
        <f>DAY(F957)</f>
        <v>4</v>
      </c>
      <c r="C957" t="str">
        <f>TEXT(F957, "mmmm")</f>
        <v>June</v>
      </c>
      <c r="D957" s="3">
        <f>MONTH(F957)</f>
        <v>6</v>
      </c>
      <c r="E957" s="3">
        <f>YEAR(F957)</f>
        <v>2023</v>
      </c>
      <c r="F957" s="2">
        <v>45081</v>
      </c>
      <c r="G957" s="3" t="s">
        <v>1031</v>
      </c>
      <c r="H957" s="3" t="s">
        <v>198</v>
      </c>
      <c r="I957" s="3">
        <v>20</v>
      </c>
      <c r="J957" s="3"/>
      <c r="K957" s="3" t="s">
        <v>195</v>
      </c>
      <c r="L957" s="3">
        <v>1</v>
      </c>
      <c r="M957" s="4">
        <v>50</v>
      </c>
      <c r="N957">
        <f>L957 * M957</f>
        <v>50</v>
      </c>
      <c r="O957" s="15">
        <f>N957 *$R$3</f>
        <v>0.75</v>
      </c>
    </row>
    <row r="958" spans="1:15" ht="15.75">
      <c r="A958" s="3">
        <v>910</v>
      </c>
      <c r="B958">
        <f>DAY(F958)</f>
        <v>6</v>
      </c>
      <c r="C958" t="str">
        <f>TEXT(F958, "mmmm")</f>
        <v>March</v>
      </c>
      <c r="D958" s="3">
        <f>MONTH(F958)</f>
        <v>3</v>
      </c>
      <c r="E958" s="3">
        <f>YEAR(F958)</f>
        <v>2023</v>
      </c>
      <c r="F958" s="2">
        <v>44991</v>
      </c>
      <c r="G958" s="3" t="s">
        <v>1032</v>
      </c>
      <c r="H958" s="3" t="s">
        <v>198</v>
      </c>
      <c r="I958" s="3">
        <v>20</v>
      </c>
      <c r="J958" s="3"/>
      <c r="K958" s="3" t="s">
        <v>19</v>
      </c>
      <c r="L958" s="3">
        <v>3</v>
      </c>
      <c r="M958" s="4">
        <v>50</v>
      </c>
      <c r="N958">
        <f>L958 * M958</f>
        <v>150</v>
      </c>
      <c r="O958" s="15">
        <f>N958 *$R$3</f>
        <v>2.25</v>
      </c>
    </row>
    <row r="959" spans="1:15" ht="15.75">
      <c r="A959" s="3">
        <v>940</v>
      </c>
      <c r="B959">
        <f>DAY(F959)</f>
        <v>28</v>
      </c>
      <c r="C959" t="str">
        <f>TEXT(F959, "mmmm")</f>
        <v>January</v>
      </c>
      <c r="D959" s="3">
        <f>MONTH(F959)</f>
        <v>1</v>
      </c>
      <c r="E959" s="3">
        <f>YEAR(F959)</f>
        <v>2023</v>
      </c>
      <c r="F959" s="2">
        <v>44954</v>
      </c>
      <c r="G959" s="3" t="s">
        <v>1033</v>
      </c>
      <c r="H959" s="3" t="s">
        <v>198</v>
      </c>
      <c r="I959" s="3">
        <v>20</v>
      </c>
      <c r="J959" s="3"/>
      <c r="K959" s="3" t="s">
        <v>196</v>
      </c>
      <c r="L959" s="3">
        <v>1</v>
      </c>
      <c r="M959" s="4">
        <v>30</v>
      </c>
      <c r="N959">
        <f>L959 * M959</f>
        <v>30</v>
      </c>
      <c r="O959" s="15">
        <f>N959 *$R$3</f>
        <v>0.44999999999999996</v>
      </c>
    </row>
    <row r="960" spans="1:15" ht="15.75">
      <c r="A960" s="3">
        <v>16</v>
      </c>
      <c r="B960">
        <f>DAY(F960)</f>
        <v>17</v>
      </c>
      <c r="C960" t="str">
        <f>TEXT(F960, "mmmm")</f>
        <v>February</v>
      </c>
      <c r="D960" s="3">
        <f>MONTH(F960)</f>
        <v>2</v>
      </c>
      <c r="E960" s="3">
        <f>YEAR(F960)</f>
        <v>2023</v>
      </c>
      <c r="F960" s="2">
        <v>44974</v>
      </c>
      <c r="G960" s="3" t="s">
        <v>1034</v>
      </c>
      <c r="H960" s="3" t="s">
        <v>18</v>
      </c>
      <c r="I960" s="3">
        <v>19</v>
      </c>
      <c r="J960" s="3"/>
      <c r="K960" s="3" t="s">
        <v>195</v>
      </c>
      <c r="L960" s="3">
        <v>3</v>
      </c>
      <c r="M960" s="4">
        <v>500</v>
      </c>
      <c r="N960">
        <f>L960 * M960</f>
        <v>1500</v>
      </c>
      <c r="O960" s="15">
        <f>N960 *$R$3</f>
        <v>22.5</v>
      </c>
    </row>
    <row r="961" spans="1:15" ht="15.75">
      <c r="A961" s="3">
        <v>86</v>
      </c>
      <c r="B961">
        <f>DAY(F961)</f>
        <v>8</v>
      </c>
      <c r="C961" t="str">
        <f>TEXT(F961, "mmmm")</f>
        <v>November</v>
      </c>
      <c r="D961" s="3">
        <f>MONTH(F961)</f>
        <v>11</v>
      </c>
      <c r="E961" s="3">
        <f>YEAR(F961)</f>
        <v>2023</v>
      </c>
      <c r="F961" s="2">
        <v>45238</v>
      </c>
      <c r="G961" s="3" t="s">
        <v>78</v>
      </c>
      <c r="H961" s="3" t="s">
        <v>18</v>
      </c>
      <c r="I961" s="3">
        <v>19</v>
      </c>
      <c r="J961" s="3"/>
      <c r="K961" s="3" t="s">
        <v>19</v>
      </c>
      <c r="L961" s="3">
        <v>3</v>
      </c>
      <c r="M961" s="4">
        <v>30</v>
      </c>
      <c r="N961">
        <f>L961 * M961</f>
        <v>90</v>
      </c>
      <c r="O961" s="15">
        <f>N961 *$R$3</f>
        <v>1.3499999999999999</v>
      </c>
    </row>
    <row r="962" spans="1:15" ht="15.75">
      <c r="A962" s="3">
        <v>117</v>
      </c>
      <c r="B962">
        <f>DAY(F962)</f>
        <v>15</v>
      </c>
      <c r="C962" t="str">
        <f>TEXT(F962, "mmmm")</f>
        <v>March</v>
      </c>
      <c r="D962" s="3">
        <f>MONTH(F962)</f>
        <v>3</v>
      </c>
      <c r="E962" s="3">
        <f>YEAR(F962)</f>
        <v>2023</v>
      </c>
      <c r="F962" s="2">
        <v>45000</v>
      </c>
      <c r="G962" s="3" t="s">
        <v>1035</v>
      </c>
      <c r="H962" s="3" t="s">
        <v>18</v>
      </c>
      <c r="I962" s="3">
        <v>19</v>
      </c>
      <c r="J962" s="3"/>
      <c r="K962" s="3" t="s">
        <v>196</v>
      </c>
      <c r="L962" s="3">
        <v>2</v>
      </c>
      <c r="M962" s="4">
        <v>500</v>
      </c>
      <c r="N962">
        <f>L962 * M962</f>
        <v>1000</v>
      </c>
      <c r="O962" s="15">
        <f>N962 *$R$3</f>
        <v>15</v>
      </c>
    </row>
    <row r="963" spans="1:15" ht="15.75">
      <c r="A963" s="3">
        <v>181</v>
      </c>
      <c r="B963">
        <f>DAY(F963)</f>
        <v>3</v>
      </c>
      <c r="C963" t="str">
        <f>TEXT(F963, "mmmm")</f>
        <v>November</v>
      </c>
      <c r="D963" s="3">
        <f>MONTH(F963)</f>
        <v>11</v>
      </c>
      <c r="E963" s="3">
        <f>YEAR(F963)</f>
        <v>2023</v>
      </c>
      <c r="F963" s="2">
        <v>45233</v>
      </c>
      <c r="G963" s="3" t="s">
        <v>1036</v>
      </c>
      <c r="H963" s="3" t="s">
        <v>18</v>
      </c>
      <c r="I963" s="3">
        <v>19</v>
      </c>
      <c r="J963" s="3"/>
      <c r="K963" s="3" t="s">
        <v>196</v>
      </c>
      <c r="L963" s="3">
        <v>4</v>
      </c>
      <c r="M963" s="4">
        <v>300</v>
      </c>
      <c r="N963">
        <f>L963 * M963</f>
        <v>1200</v>
      </c>
      <c r="O963" s="15">
        <f>N963 *$R$3</f>
        <v>18</v>
      </c>
    </row>
    <row r="964" spans="1:15" ht="15.75">
      <c r="A964" s="3">
        <v>257</v>
      </c>
      <c r="B964">
        <f>DAY(F964)</f>
        <v>19</v>
      </c>
      <c r="C964" t="str">
        <f>TEXT(F964, "mmmm")</f>
        <v>February</v>
      </c>
      <c r="D964" s="3">
        <f>MONTH(F964)</f>
        <v>2</v>
      </c>
      <c r="E964" s="3">
        <f>YEAR(F964)</f>
        <v>2023</v>
      </c>
      <c r="F964" s="2">
        <v>44976</v>
      </c>
      <c r="G964" s="3" t="s">
        <v>169</v>
      </c>
      <c r="H964" s="3" t="s">
        <v>18</v>
      </c>
      <c r="I964" s="3">
        <v>19</v>
      </c>
      <c r="J964" s="3"/>
      <c r="K964" s="3" t="s">
        <v>19</v>
      </c>
      <c r="L964" s="3">
        <v>4</v>
      </c>
      <c r="M964" s="4">
        <v>500</v>
      </c>
      <c r="N964">
        <f>L964 * M964</f>
        <v>2000</v>
      </c>
      <c r="O964" s="15">
        <f>N964 *$R$3</f>
        <v>30</v>
      </c>
    </row>
    <row r="965" spans="1:15" ht="15.75">
      <c r="A965" s="3">
        <v>266</v>
      </c>
      <c r="B965">
        <f>DAY(F965)</f>
        <v>1</v>
      </c>
      <c r="C965" t="str">
        <f>TEXT(F965, "mmmm")</f>
        <v>December</v>
      </c>
      <c r="D965" s="3">
        <f>MONTH(F965)</f>
        <v>12</v>
      </c>
      <c r="E965" s="3">
        <f>YEAR(F965)</f>
        <v>2023</v>
      </c>
      <c r="F965" s="2">
        <v>45261</v>
      </c>
      <c r="G965" s="3" t="s">
        <v>1037</v>
      </c>
      <c r="H965" s="3" t="s">
        <v>198</v>
      </c>
      <c r="I965" s="3">
        <v>19</v>
      </c>
      <c r="J965" s="3"/>
      <c r="K965" s="3" t="s">
        <v>196</v>
      </c>
      <c r="L965" s="3">
        <v>2</v>
      </c>
      <c r="M965" s="4">
        <v>30</v>
      </c>
      <c r="N965">
        <f>L965 * M965</f>
        <v>60</v>
      </c>
      <c r="O965" s="15">
        <f>N965 *$R$3</f>
        <v>0.89999999999999991</v>
      </c>
    </row>
    <row r="966" spans="1:15" ht="15.75">
      <c r="A966" s="3">
        <v>300</v>
      </c>
      <c r="B966">
        <f>DAY(F966)</f>
        <v>31</v>
      </c>
      <c r="C966" t="str">
        <f>TEXT(F966, "mmmm")</f>
        <v>January</v>
      </c>
      <c r="D966" s="3">
        <f>MONTH(F966)</f>
        <v>1</v>
      </c>
      <c r="E966" s="3">
        <f>YEAR(F966)</f>
        <v>2023</v>
      </c>
      <c r="F966" s="2">
        <v>44957</v>
      </c>
      <c r="G966" s="3" t="s">
        <v>1038</v>
      </c>
      <c r="H966" s="3" t="s">
        <v>198</v>
      </c>
      <c r="I966" s="3">
        <v>19</v>
      </c>
      <c r="J966" s="3"/>
      <c r="K966" s="3" t="s">
        <v>196</v>
      </c>
      <c r="L966" s="3">
        <v>4</v>
      </c>
      <c r="M966" s="4">
        <v>50</v>
      </c>
      <c r="N966">
        <f>L966 * M966</f>
        <v>200</v>
      </c>
      <c r="O966" s="15">
        <f>N966 *$R$3</f>
        <v>3</v>
      </c>
    </row>
    <row r="967" spans="1:15" ht="15.75">
      <c r="A967" s="3">
        <v>303</v>
      </c>
      <c r="B967">
        <f>DAY(F967)</f>
        <v>2</v>
      </c>
      <c r="C967" t="str">
        <f>TEXT(F967, "mmmm")</f>
        <v>January</v>
      </c>
      <c r="D967" s="3">
        <f>MONTH(F967)</f>
        <v>1</v>
      </c>
      <c r="E967" s="3">
        <f>YEAR(F967)</f>
        <v>2023</v>
      </c>
      <c r="F967" s="2">
        <v>44928</v>
      </c>
      <c r="G967" s="3" t="s">
        <v>1039</v>
      </c>
      <c r="H967" s="3" t="s">
        <v>18</v>
      </c>
      <c r="I967" s="3">
        <v>19</v>
      </c>
      <c r="J967" s="3"/>
      <c r="K967" s="3" t="s">
        <v>196</v>
      </c>
      <c r="L967" s="3">
        <v>3</v>
      </c>
      <c r="M967" s="4">
        <v>30</v>
      </c>
      <c r="N967">
        <f>L967 * M967</f>
        <v>90</v>
      </c>
      <c r="O967" s="15">
        <f>N967 *$R$3</f>
        <v>1.3499999999999999</v>
      </c>
    </row>
    <row r="968" spans="1:15" ht="15.75">
      <c r="A968" s="3">
        <v>364</v>
      </c>
      <c r="B968">
        <f>DAY(F968)</f>
        <v>23</v>
      </c>
      <c r="C968" t="str">
        <f>TEXT(F968, "mmmm")</f>
        <v>August</v>
      </c>
      <c r="D968" s="3">
        <f>MONTH(F968)</f>
        <v>8</v>
      </c>
      <c r="E968" s="3">
        <f>YEAR(F968)</f>
        <v>2023</v>
      </c>
      <c r="F968" s="2">
        <v>45161</v>
      </c>
      <c r="G968" s="3" t="s">
        <v>1040</v>
      </c>
      <c r="H968" s="3" t="s">
        <v>198</v>
      </c>
      <c r="I968" s="3">
        <v>19</v>
      </c>
      <c r="J968" s="3"/>
      <c r="K968" s="3" t="s">
        <v>19</v>
      </c>
      <c r="L968" s="3">
        <v>1</v>
      </c>
      <c r="M968" s="4">
        <v>500</v>
      </c>
      <c r="N968">
        <f>L968 * M968</f>
        <v>500</v>
      </c>
      <c r="O968" s="15">
        <f>N968 *$R$3</f>
        <v>7.5</v>
      </c>
    </row>
    <row r="969" spans="1:15" ht="15.75">
      <c r="A969" s="3">
        <v>391</v>
      </c>
      <c r="B969">
        <f>DAY(F969)</f>
        <v>5</v>
      </c>
      <c r="C969" t="str">
        <f>TEXT(F969, "mmmm")</f>
        <v>January</v>
      </c>
      <c r="D969" s="3">
        <f>MONTH(F969)</f>
        <v>1</v>
      </c>
      <c r="E969" s="3">
        <f>YEAR(F969)</f>
        <v>2023</v>
      </c>
      <c r="F969" s="2">
        <v>44931</v>
      </c>
      <c r="G969" s="3" t="s">
        <v>51</v>
      </c>
      <c r="H969" s="3" t="s">
        <v>18</v>
      </c>
      <c r="I969" s="3">
        <v>19</v>
      </c>
      <c r="J969" s="3"/>
      <c r="K969" s="3" t="s">
        <v>19</v>
      </c>
      <c r="L969" s="3">
        <v>2</v>
      </c>
      <c r="M969" s="4">
        <v>25</v>
      </c>
      <c r="N969">
        <f>L969 * M969</f>
        <v>50</v>
      </c>
      <c r="O969" s="15">
        <f>N969 *$R$3</f>
        <v>0.75</v>
      </c>
    </row>
    <row r="970" spans="1:15" ht="15.75">
      <c r="A970" s="3">
        <v>412</v>
      </c>
      <c r="B970">
        <f>DAY(F970)</f>
        <v>16</v>
      </c>
      <c r="C970" t="str">
        <f>TEXT(F970, "mmmm")</f>
        <v>September</v>
      </c>
      <c r="D970" s="3">
        <f>MONTH(F970)</f>
        <v>9</v>
      </c>
      <c r="E970" s="3">
        <f>YEAR(F970)</f>
        <v>2023</v>
      </c>
      <c r="F970" s="2">
        <v>45185</v>
      </c>
      <c r="G970" s="3" t="s">
        <v>1041</v>
      </c>
      <c r="H970" s="3" t="s">
        <v>198</v>
      </c>
      <c r="I970" s="3">
        <v>19</v>
      </c>
      <c r="J970" s="3"/>
      <c r="K970" s="3" t="s">
        <v>196</v>
      </c>
      <c r="L970" s="3">
        <v>4</v>
      </c>
      <c r="M970" s="4">
        <v>500</v>
      </c>
      <c r="N970">
        <f>L970 * M970</f>
        <v>2000</v>
      </c>
      <c r="O970" s="15">
        <f>N970 *$R$3</f>
        <v>30</v>
      </c>
    </row>
    <row r="971" spans="1:15" ht="15.75">
      <c r="A971" s="3">
        <v>484</v>
      </c>
      <c r="B971">
        <f>DAY(F971)</f>
        <v>13</v>
      </c>
      <c r="C971" t="str">
        <f>TEXT(F971, "mmmm")</f>
        <v>January</v>
      </c>
      <c r="D971" s="3">
        <f>MONTH(F971)</f>
        <v>1</v>
      </c>
      <c r="E971" s="3">
        <f>YEAR(F971)</f>
        <v>2023</v>
      </c>
      <c r="F971" s="2">
        <v>44939</v>
      </c>
      <c r="G971" s="3" t="s">
        <v>1042</v>
      </c>
      <c r="H971" s="3" t="s">
        <v>198</v>
      </c>
      <c r="I971" s="3">
        <v>19</v>
      </c>
      <c r="J971" s="3"/>
      <c r="K971" s="3" t="s">
        <v>195</v>
      </c>
      <c r="L971" s="3">
        <v>4</v>
      </c>
      <c r="M971" s="4">
        <v>300</v>
      </c>
      <c r="N971">
        <f>L971 * M971</f>
        <v>1200</v>
      </c>
      <c r="O971" s="15">
        <f>N971 *$R$3</f>
        <v>18</v>
      </c>
    </row>
    <row r="972" spans="1:15" ht="15.75">
      <c r="A972" s="3">
        <v>533</v>
      </c>
      <c r="B972">
        <f>DAY(F972)</f>
        <v>16</v>
      </c>
      <c r="C972" t="str">
        <f>TEXT(F972, "mmmm")</f>
        <v>November</v>
      </c>
      <c r="D972" s="3">
        <f>MONTH(F972)</f>
        <v>11</v>
      </c>
      <c r="E972" s="3">
        <f>YEAR(F972)</f>
        <v>2023</v>
      </c>
      <c r="F972" s="2">
        <v>45246</v>
      </c>
      <c r="G972" s="3" t="s">
        <v>1043</v>
      </c>
      <c r="H972" s="3" t="s">
        <v>18</v>
      </c>
      <c r="I972" s="3">
        <v>19</v>
      </c>
      <c r="J972" s="3"/>
      <c r="K972" s="3" t="s">
        <v>196</v>
      </c>
      <c r="L972" s="3">
        <v>3</v>
      </c>
      <c r="M972" s="4">
        <v>500</v>
      </c>
      <c r="N972">
        <f>L972 * M972</f>
        <v>1500</v>
      </c>
      <c r="O972" s="15">
        <f>N972 *$R$3</f>
        <v>22.5</v>
      </c>
    </row>
    <row r="973" spans="1:15" ht="15.75">
      <c r="A973" s="3">
        <v>594</v>
      </c>
      <c r="B973">
        <f>DAY(F973)</f>
        <v>1</v>
      </c>
      <c r="C973" t="str">
        <f>TEXT(F973, "mmmm")</f>
        <v>September</v>
      </c>
      <c r="D973" s="3">
        <f>MONTH(F973)</f>
        <v>9</v>
      </c>
      <c r="E973" s="3">
        <f>YEAR(F973)</f>
        <v>2023</v>
      </c>
      <c r="F973" s="2">
        <v>45170</v>
      </c>
      <c r="G973" s="3" t="s">
        <v>1044</v>
      </c>
      <c r="H973" s="3" t="s">
        <v>198</v>
      </c>
      <c r="I973" s="3">
        <v>19</v>
      </c>
      <c r="J973" s="3"/>
      <c r="K973" s="3" t="s">
        <v>196</v>
      </c>
      <c r="L973" s="3">
        <v>2</v>
      </c>
      <c r="M973" s="4">
        <v>300</v>
      </c>
      <c r="N973">
        <f>L973 * M973</f>
        <v>600</v>
      </c>
      <c r="O973" s="15">
        <f>N973 *$R$3</f>
        <v>9</v>
      </c>
    </row>
    <row r="974" spans="1:15" ht="15.75">
      <c r="A974" s="3">
        <v>601</v>
      </c>
      <c r="B974">
        <f>DAY(F974)</f>
        <v>10</v>
      </c>
      <c r="C974" t="str">
        <f>TEXT(F974, "mmmm")</f>
        <v>April</v>
      </c>
      <c r="D974" s="3">
        <f>MONTH(F974)</f>
        <v>4</v>
      </c>
      <c r="E974" s="3">
        <f>YEAR(F974)</f>
        <v>2023</v>
      </c>
      <c r="F974" s="2">
        <v>45026</v>
      </c>
      <c r="G974" s="3" t="s">
        <v>1045</v>
      </c>
      <c r="H974" s="3" t="s">
        <v>18</v>
      </c>
      <c r="I974" s="3">
        <v>19</v>
      </c>
      <c r="J974" s="3"/>
      <c r="K974" s="3" t="s">
        <v>195</v>
      </c>
      <c r="L974" s="3">
        <v>1</v>
      </c>
      <c r="M974" s="4">
        <v>30</v>
      </c>
      <c r="N974">
        <f>L974 * M974</f>
        <v>30</v>
      </c>
      <c r="O974" s="15">
        <f>N974 *$R$3</f>
        <v>0.44999999999999996</v>
      </c>
    </row>
    <row r="975" spans="1:15" ht="15.75">
      <c r="A975" s="3">
        <v>628</v>
      </c>
      <c r="B975">
        <f>DAY(F975)</f>
        <v>1</v>
      </c>
      <c r="C975" t="str">
        <f>TEXT(F975, "mmmm")</f>
        <v>November</v>
      </c>
      <c r="D975" s="3">
        <f>MONTH(F975)</f>
        <v>11</v>
      </c>
      <c r="E975" s="3">
        <f>YEAR(F975)</f>
        <v>2023</v>
      </c>
      <c r="F975" s="2">
        <v>45231</v>
      </c>
      <c r="G975" s="3" t="s">
        <v>1046</v>
      </c>
      <c r="H975" s="3" t="s">
        <v>198</v>
      </c>
      <c r="I975" s="3">
        <v>19</v>
      </c>
      <c r="J975" s="3"/>
      <c r="K975" s="3" t="s">
        <v>19</v>
      </c>
      <c r="L975" s="3">
        <v>4</v>
      </c>
      <c r="M975" s="4">
        <v>50</v>
      </c>
      <c r="N975">
        <f>L975 * M975</f>
        <v>200</v>
      </c>
      <c r="O975" s="15">
        <f>N975 *$R$3</f>
        <v>3</v>
      </c>
    </row>
    <row r="976" spans="1:15" ht="15.75">
      <c r="A976" s="3">
        <v>677</v>
      </c>
      <c r="B976">
        <f>DAY(F976)</f>
        <v>27</v>
      </c>
      <c r="C976" t="str">
        <f>TEXT(F976, "mmmm")</f>
        <v>October</v>
      </c>
      <c r="D976" s="3">
        <f>MONTH(F976)</f>
        <v>10</v>
      </c>
      <c r="E976" s="3">
        <f>YEAR(F976)</f>
        <v>2023</v>
      </c>
      <c r="F976" s="2">
        <v>45226</v>
      </c>
      <c r="G976" s="3" t="s">
        <v>1047</v>
      </c>
      <c r="H976" s="3" t="s">
        <v>198</v>
      </c>
      <c r="I976" s="3">
        <v>19</v>
      </c>
      <c r="J976" s="3"/>
      <c r="K976" s="3" t="s">
        <v>19</v>
      </c>
      <c r="L976" s="3">
        <v>3</v>
      </c>
      <c r="M976" s="4">
        <v>500</v>
      </c>
      <c r="N976">
        <f>L976 * M976</f>
        <v>1500</v>
      </c>
      <c r="O976" s="15">
        <f>N976 *$R$3</f>
        <v>22.5</v>
      </c>
    </row>
    <row r="977" spans="1:15" ht="15.75">
      <c r="A977" s="3">
        <v>709</v>
      </c>
      <c r="B977">
        <f>DAY(F977)</f>
        <v>21</v>
      </c>
      <c r="C977" t="str">
        <f>TEXT(F977, "mmmm")</f>
        <v>July</v>
      </c>
      <c r="D977" s="3">
        <f>MONTH(F977)</f>
        <v>7</v>
      </c>
      <c r="E977" s="3">
        <f>YEAR(F977)</f>
        <v>2023</v>
      </c>
      <c r="F977" s="2">
        <v>45128</v>
      </c>
      <c r="G977" s="3" t="s">
        <v>1048</v>
      </c>
      <c r="H977" s="3" t="s">
        <v>198</v>
      </c>
      <c r="I977" s="3">
        <v>19</v>
      </c>
      <c r="J977" s="3"/>
      <c r="K977" s="3" t="s">
        <v>196</v>
      </c>
      <c r="L977" s="3">
        <v>2</v>
      </c>
      <c r="M977" s="4">
        <v>500</v>
      </c>
      <c r="N977">
        <f>L977 * M977</f>
        <v>1000</v>
      </c>
      <c r="O977" s="15">
        <f>N977 *$R$3</f>
        <v>15</v>
      </c>
    </row>
    <row r="978" spans="1:15" ht="15.75">
      <c r="A978" s="3">
        <v>812</v>
      </c>
      <c r="B978">
        <f>DAY(F978)</f>
        <v>12</v>
      </c>
      <c r="C978" t="str">
        <f>TEXT(F978, "mmmm")</f>
        <v>November</v>
      </c>
      <c r="D978" s="3">
        <f>MONTH(F978)</f>
        <v>11</v>
      </c>
      <c r="E978" s="3">
        <f>YEAR(F978)</f>
        <v>2023</v>
      </c>
      <c r="F978" s="2">
        <v>45242</v>
      </c>
      <c r="G978" s="3" t="s">
        <v>1049</v>
      </c>
      <c r="H978" s="3" t="s">
        <v>18</v>
      </c>
      <c r="I978" s="3">
        <v>19</v>
      </c>
      <c r="J978" s="3"/>
      <c r="K978" s="3" t="s">
        <v>196</v>
      </c>
      <c r="L978" s="3">
        <v>3</v>
      </c>
      <c r="M978" s="4">
        <v>25</v>
      </c>
      <c r="N978">
        <f>L978 * M978</f>
        <v>75</v>
      </c>
      <c r="O978" s="15">
        <f>N978 *$R$3</f>
        <v>1.125</v>
      </c>
    </row>
    <row r="979" spans="1:15" ht="15.75">
      <c r="A979" s="3">
        <v>979</v>
      </c>
      <c r="B979">
        <f>DAY(F979)</f>
        <v>2</v>
      </c>
      <c r="C979" t="str">
        <f>TEXT(F979, "mmmm")</f>
        <v>January</v>
      </c>
      <c r="D979" s="3">
        <f>MONTH(F979)</f>
        <v>1</v>
      </c>
      <c r="E979" s="3">
        <f>YEAR(F979)</f>
        <v>2023</v>
      </c>
      <c r="F979" s="2">
        <v>44928</v>
      </c>
      <c r="G979" s="3" t="s">
        <v>1050</v>
      </c>
      <c r="H979" s="3" t="s">
        <v>198</v>
      </c>
      <c r="I979" s="3">
        <v>19</v>
      </c>
      <c r="J979" s="3"/>
      <c r="K979" s="3" t="s">
        <v>19</v>
      </c>
      <c r="L979" s="3">
        <v>1</v>
      </c>
      <c r="M979" s="4">
        <v>25</v>
      </c>
      <c r="N979">
        <f>L979 * M979</f>
        <v>25</v>
      </c>
      <c r="O979" s="15">
        <f>N979 *$R$3</f>
        <v>0.375</v>
      </c>
    </row>
    <row r="980" spans="1:15" ht="15.75">
      <c r="A980" s="3">
        <v>985</v>
      </c>
      <c r="B980">
        <f>DAY(F980)</f>
        <v>30</v>
      </c>
      <c r="C980" t="str">
        <f>TEXT(F980, "mmmm")</f>
        <v>May</v>
      </c>
      <c r="D980" s="3">
        <f>MONTH(F980)</f>
        <v>5</v>
      </c>
      <c r="E980" s="3">
        <f>YEAR(F980)</f>
        <v>2023</v>
      </c>
      <c r="F980" s="2">
        <v>45076</v>
      </c>
      <c r="G980" s="3" t="s">
        <v>1051</v>
      </c>
      <c r="H980" s="3" t="s">
        <v>198</v>
      </c>
      <c r="I980" s="3">
        <v>19</v>
      </c>
      <c r="J980" s="3"/>
      <c r="K980" s="3" t="s">
        <v>196</v>
      </c>
      <c r="L980" s="3">
        <v>2</v>
      </c>
      <c r="M980" s="4">
        <v>25</v>
      </c>
      <c r="N980">
        <f>L980 * M980</f>
        <v>50</v>
      </c>
      <c r="O980" s="15">
        <f>N980 *$R$3</f>
        <v>0.75</v>
      </c>
    </row>
    <row r="981" spans="1:15" ht="15.75">
      <c r="A981" s="3">
        <v>22</v>
      </c>
      <c r="B981">
        <f>DAY(F981)</f>
        <v>15</v>
      </c>
      <c r="C981" t="str">
        <f>TEXT(F981, "mmmm")</f>
        <v>October</v>
      </c>
      <c r="D981" s="3">
        <f>MONTH(F981)</f>
        <v>10</v>
      </c>
      <c r="E981" s="3">
        <f>YEAR(F981)</f>
        <v>2023</v>
      </c>
      <c r="F981" s="2">
        <v>45214</v>
      </c>
      <c r="G981" s="3" t="s">
        <v>1052</v>
      </c>
      <c r="H981" s="3" t="s">
        <v>18</v>
      </c>
      <c r="I981" s="3">
        <v>18</v>
      </c>
      <c r="J981" s="3"/>
      <c r="K981" s="3" t="s">
        <v>195</v>
      </c>
      <c r="L981" s="3">
        <v>2</v>
      </c>
      <c r="M981" s="4">
        <v>50</v>
      </c>
      <c r="N981">
        <f>L981 * M981</f>
        <v>100</v>
      </c>
      <c r="O981" s="15">
        <f>N981 *$R$3</f>
        <v>1.5</v>
      </c>
    </row>
    <row r="982" spans="1:15" ht="15.75">
      <c r="A982" s="3">
        <v>37</v>
      </c>
      <c r="B982">
        <f>DAY(F982)</f>
        <v>23</v>
      </c>
      <c r="C982" t="str">
        <f>TEXT(F982, "mmmm")</f>
        <v>May</v>
      </c>
      <c r="D982" s="3">
        <f>MONTH(F982)</f>
        <v>5</v>
      </c>
      <c r="E982" s="3">
        <f>YEAR(F982)</f>
        <v>2023</v>
      </c>
      <c r="F982" s="2">
        <v>45069</v>
      </c>
      <c r="G982" s="3" t="s">
        <v>1053</v>
      </c>
      <c r="H982" s="3" t="s">
        <v>198</v>
      </c>
      <c r="I982" s="3">
        <v>18</v>
      </c>
      <c r="J982" s="3"/>
      <c r="K982" s="3" t="s">
        <v>19</v>
      </c>
      <c r="L982" s="3">
        <v>3</v>
      </c>
      <c r="M982" s="4">
        <v>25</v>
      </c>
      <c r="N982">
        <f>L982 * M982</f>
        <v>75</v>
      </c>
      <c r="O982" s="15">
        <f>N982 *$R$3</f>
        <v>1.125</v>
      </c>
    </row>
    <row r="983" spans="1:15" ht="15.75">
      <c r="A983" s="3">
        <v>58</v>
      </c>
      <c r="B983">
        <f>DAY(F983)</f>
        <v>13</v>
      </c>
      <c r="C983" t="str">
        <f>TEXT(F983, "mmmm")</f>
        <v>November</v>
      </c>
      <c r="D983" s="3">
        <f>MONTH(F983)</f>
        <v>11</v>
      </c>
      <c r="E983" s="3">
        <f>YEAR(F983)</f>
        <v>2023</v>
      </c>
      <c r="F983" s="2">
        <v>45243</v>
      </c>
      <c r="G983" s="3" t="s">
        <v>1054</v>
      </c>
      <c r="H983" s="3" t="s">
        <v>18</v>
      </c>
      <c r="I983" s="3">
        <v>18</v>
      </c>
      <c r="J983" s="3"/>
      <c r="K983" s="3" t="s">
        <v>195</v>
      </c>
      <c r="L983" s="3">
        <v>4</v>
      </c>
      <c r="M983" s="4">
        <v>300</v>
      </c>
      <c r="N983">
        <f>L983 * M983</f>
        <v>1200</v>
      </c>
      <c r="O983" s="15">
        <f>N983 *$R$3</f>
        <v>18</v>
      </c>
    </row>
    <row r="984" spans="1:15" ht="15.75">
      <c r="A984" s="3">
        <v>62</v>
      </c>
      <c r="B984">
        <f>DAY(F984)</f>
        <v>27</v>
      </c>
      <c r="C984" t="str">
        <f>TEXT(F984, "mmmm")</f>
        <v>December</v>
      </c>
      <c r="D984" s="3">
        <f>MONTH(F984)</f>
        <v>12</v>
      </c>
      <c r="E984" s="3">
        <f>YEAR(F984)</f>
        <v>2023</v>
      </c>
      <c r="F984" s="2">
        <v>45287</v>
      </c>
      <c r="G984" s="3" t="s">
        <v>86</v>
      </c>
      <c r="H984" s="3" t="s">
        <v>18</v>
      </c>
      <c r="I984" s="3">
        <v>18</v>
      </c>
      <c r="J984" s="3"/>
      <c r="K984" s="3" t="s">
        <v>19</v>
      </c>
      <c r="L984" s="3">
        <v>2</v>
      </c>
      <c r="M984" s="4">
        <v>50</v>
      </c>
      <c r="N984">
        <f>L984 * M984</f>
        <v>100</v>
      </c>
      <c r="O984" s="15">
        <f>N984 *$R$3</f>
        <v>1.5</v>
      </c>
    </row>
    <row r="985" spans="1:15" ht="15.75">
      <c r="A985" s="3">
        <v>74</v>
      </c>
      <c r="B985">
        <f>DAY(F985)</f>
        <v>22</v>
      </c>
      <c r="C985" t="str">
        <f>TEXT(F985, "mmmm")</f>
        <v>November</v>
      </c>
      <c r="D985" s="3">
        <f>MONTH(F985)</f>
        <v>11</v>
      </c>
      <c r="E985" s="3">
        <f>YEAR(F985)</f>
        <v>2023</v>
      </c>
      <c r="F985" s="2">
        <v>45252</v>
      </c>
      <c r="G985" s="3" t="s">
        <v>1055</v>
      </c>
      <c r="H985" s="3" t="s">
        <v>198</v>
      </c>
      <c r="I985" s="3">
        <v>18</v>
      </c>
      <c r="J985" s="3"/>
      <c r="K985" s="3" t="s">
        <v>19</v>
      </c>
      <c r="L985" s="3">
        <v>4</v>
      </c>
      <c r="M985" s="4">
        <v>500</v>
      </c>
      <c r="N985">
        <f>L985 * M985</f>
        <v>2000</v>
      </c>
      <c r="O985" s="15">
        <f>N985 *$R$3</f>
        <v>30</v>
      </c>
    </row>
    <row r="986" spans="1:15" ht="15.75">
      <c r="A986" s="3">
        <v>148</v>
      </c>
      <c r="B986">
        <f>DAY(F986)</f>
        <v>9</v>
      </c>
      <c r="C986" t="str">
        <f>TEXT(F986, "mmmm")</f>
        <v>May</v>
      </c>
      <c r="D986" s="3">
        <f>MONTH(F986)</f>
        <v>5</v>
      </c>
      <c r="E986" s="3">
        <f>YEAR(F986)</f>
        <v>2023</v>
      </c>
      <c r="F986" s="2">
        <v>45055</v>
      </c>
      <c r="G986" s="3" t="s">
        <v>1056</v>
      </c>
      <c r="H986" s="3" t="s">
        <v>18</v>
      </c>
      <c r="I986" s="3">
        <v>18</v>
      </c>
      <c r="J986" s="3"/>
      <c r="K986" s="3" t="s">
        <v>195</v>
      </c>
      <c r="L986" s="3">
        <v>2</v>
      </c>
      <c r="M986" s="4">
        <v>30</v>
      </c>
      <c r="N986">
        <f>L986 * M986</f>
        <v>60</v>
      </c>
      <c r="O986" s="15">
        <f>N986 *$R$3</f>
        <v>0.89999999999999991</v>
      </c>
    </row>
    <row r="987" spans="1:15" ht="15.75">
      <c r="A987" s="3">
        <v>169</v>
      </c>
      <c r="B987">
        <f>DAY(F987)</f>
        <v>17</v>
      </c>
      <c r="C987" t="str">
        <f>TEXT(F987, "mmmm")</f>
        <v>November</v>
      </c>
      <c r="D987" s="3">
        <f>MONTH(F987)</f>
        <v>11</v>
      </c>
      <c r="E987" s="3">
        <f>YEAR(F987)</f>
        <v>2023</v>
      </c>
      <c r="F987" s="2">
        <v>45247</v>
      </c>
      <c r="G987" s="3" t="s">
        <v>163</v>
      </c>
      <c r="H987" s="3" t="s">
        <v>18</v>
      </c>
      <c r="I987" s="3">
        <v>18</v>
      </c>
      <c r="J987" s="3"/>
      <c r="K987" s="3" t="s">
        <v>19</v>
      </c>
      <c r="L987" s="3">
        <v>3</v>
      </c>
      <c r="M987" s="4">
        <v>500</v>
      </c>
      <c r="N987">
        <f>L987 * M987</f>
        <v>1500</v>
      </c>
      <c r="O987" s="15">
        <f>N987 *$R$3</f>
        <v>22.5</v>
      </c>
    </row>
    <row r="988" spans="1:15" ht="15.75">
      <c r="A988" s="3">
        <v>283</v>
      </c>
      <c r="B988">
        <f>DAY(F988)</f>
        <v>8</v>
      </c>
      <c r="C988" t="str">
        <f>TEXT(F988, "mmmm")</f>
        <v>May</v>
      </c>
      <c r="D988" s="3">
        <f>MONTH(F988)</f>
        <v>5</v>
      </c>
      <c r="E988" s="3">
        <f>YEAR(F988)</f>
        <v>2023</v>
      </c>
      <c r="F988" s="2">
        <v>45054</v>
      </c>
      <c r="G988" s="3" t="s">
        <v>1057</v>
      </c>
      <c r="H988" s="3" t="s">
        <v>198</v>
      </c>
      <c r="I988" s="3">
        <v>18</v>
      </c>
      <c r="J988" s="3"/>
      <c r="K988" s="3" t="s">
        <v>196</v>
      </c>
      <c r="L988" s="3">
        <v>1</v>
      </c>
      <c r="M988" s="4">
        <v>500</v>
      </c>
      <c r="N988">
        <f>L988 * M988</f>
        <v>500</v>
      </c>
      <c r="O988" s="15">
        <f>N988 *$R$3</f>
        <v>7.5</v>
      </c>
    </row>
    <row r="989" spans="1:15" ht="15.75">
      <c r="A989" s="3">
        <v>305</v>
      </c>
      <c r="B989">
        <f>DAY(F989)</f>
        <v>16</v>
      </c>
      <c r="C989" t="str">
        <f>TEXT(F989, "mmmm")</f>
        <v>May</v>
      </c>
      <c r="D989" s="3">
        <f>MONTH(F989)</f>
        <v>5</v>
      </c>
      <c r="E989" s="3">
        <f>YEAR(F989)</f>
        <v>2023</v>
      </c>
      <c r="F989" s="2">
        <v>45062</v>
      </c>
      <c r="G989" s="3" t="s">
        <v>1058</v>
      </c>
      <c r="H989" s="3" t="s">
        <v>198</v>
      </c>
      <c r="I989" s="3">
        <v>18</v>
      </c>
      <c r="J989" s="3"/>
      <c r="K989" s="3" t="s">
        <v>19</v>
      </c>
      <c r="L989" s="3">
        <v>1</v>
      </c>
      <c r="M989" s="4">
        <v>30</v>
      </c>
      <c r="N989">
        <f>L989 * M989</f>
        <v>30</v>
      </c>
      <c r="O989" s="15">
        <f>N989 *$R$3</f>
        <v>0.44999999999999996</v>
      </c>
    </row>
    <row r="990" spans="1:15" ht="15.75">
      <c r="A990" s="3">
        <v>326</v>
      </c>
      <c r="B990">
        <f>DAY(F990)</f>
        <v>15</v>
      </c>
      <c r="C990" t="str">
        <f>TEXT(F990, "mmmm")</f>
        <v>September</v>
      </c>
      <c r="D990" s="3">
        <f>MONTH(F990)</f>
        <v>9</v>
      </c>
      <c r="E990" s="3">
        <f>YEAR(F990)</f>
        <v>2023</v>
      </c>
      <c r="F990" s="2">
        <v>45184</v>
      </c>
      <c r="G990" s="3" t="s">
        <v>1059</v>
      </c>
      <c r="H990" s="3" t="s">
        <v>198</v>
      </c>
      <c r="I990" s="3">
        <v>18</v>
      </c>
      <c r="J990" s="3"/>
      <c r="K990" s="3" t="s">
        <v>195</v>
      </c>
      <c r="L990" s="3">
        <v>3</v>
      </c>
      <c r="M990" s="4">
        <v>25</v>
      </c>
      <c r="N990">
        <f>L990 * M990</f>
        <v>75</v>
      </c>
      <c r="O990" s="15">
        <f>N990 *$R$3</f>
        <v>1.125</v>
      </c>
    </row>
    <row r="991" spans="1:15" ht="15.75">
      <c r="A991" s="3">
        <v>461</v>
      </c>
      <c r="B991">
        <f>DAY(F991)</f>
        <v>25</v>
      </c>
      <c r="C991" t="str">
        <f>TEXT(F991, "mmmm")</f>
        <v>March</v>
      </c>
      <c r="D991" s="3">
        <f>MONTH(F991)</f>
        <v>3</v>
      </c>
      <c r="E991" s="3">
        <f>YEAR(F991)</f>
        <v>2023</v>
      </c>
      <c r="F991" s="2">
        <v>45010</v>
      </c>
      <c r="G991" s="3" t="s">
        <v>1060</v>
      </c>
      <c r="H991" s="3" t="s">
        <v>198</v>
      </c>
      <c r="I991" s="3">
        <v>18</v>
      </c>
      <c r="J991" s="3"/>
      <c r="K991" s="3" t="s">
        <v>19</v>
      </c>
      <c r="L991" s="3">
        <v>2</v>
      </c>
      <c r="M991" s="4">
        <v>500</v>
      </c>
      <c r="N991">
        <f>L991 * M991</f>
        <v>1000</v>
      </c>
      <c r="O991" s="15">
        <f>N991 *$R$3</f>
        <v>15</v>
      </c>
    </row>
    <row r="992" spans="1:15" ht="15.75">
      <c r="A992" s="3">
        <v>469</v>
      </c>
      <c r="B992">
        <f>DAY(F992)</f>
        <v>8</v>
      </c>
      <c r="C992" t="str">
        <f>TEXT(F992, "mmmm")</f>
        <v>May</v>
      </c>
      <c r="D992" s="3">
        <f>MONTH(F992)</f>
        <v>5</v>
      </c>
      <c r="E992" s="3">
        <f>YEAR(F992)</f>
        <v>2023</v>
      </c>
      <c r="F992" s="2">
        <v>45054</v>
      </c>
      <c r="G992" s="3" t="s">
        <v>69</v>
      </c>
      <c r="H992" s="3" t="s">
        <v>18</v>
      </c>
      <c r="I992" s="3">
        <v>18</v>
      </c>
      <c r="J992" s="3"/>
      <c r="K992" s="3" t="s">
        <v>19</v>
      </c>
      <c r="L992" s="3">
        <v>3</v>
      </c>
      <c r="M992" s="4">
        <v>25</v>
      </c>
      <c r="N992">
        <f>L992 * M992</f>
        <v>75</v>
      </c>
      <c r="O992" s="15">
        <f>N992 *$R$3</f>
        <v>1.125</v>
      </c>
    </row>
    <row r="993" spans="1:15" ht="15.75">
      <c r="A993" s="3">
        <v>514</v>
      </c>
      <c r="B993">
        <f>DAY(F993)</f>
        <v>1</v>
      </c>
      <c r="C993" t="str">
        <f>TEXT(F993, "mmmm")</f>
        <v>March</v>
      </c>
      <c r="D993" s="3">
        <f>MONTH(F993)</f>
        <v>3</v>
      </c>
      <c r="E993" s="3">
        <f>YEAR(F993)</f>
        <v>2023</v>
      </c>
      <c r="F993" s="2">
        <v>44986</v>
      </c>
      <c r="G993" s="3" t="s">
        <v>1061</v>
      </c>
      <c r="H993" s="3" t="s">
        <v>198</v>
      </c>
      <c r="I993" s="3">
        <v>18</v>
      </c>
      <c r="J993" s="3"/>
      <c r="K993" s="3" t="s">
        <v>196</v>
      </c>
      <c r="L993" s="3">
        <v>1</v>
      </c>
      <c r="M993" s="4">
        <v>300</v>
      </c>
      <c r="N993">
        <f>L993 * M993</f>
        <v>300</v>
      </c>
      <c r="O993" s="15">
        <f>N993 *$R$3</f>
        <v>4.5</v>
      </c>
    </row>
    <row r="994" spans="1:15" ht="15.75">
      <c r="A994" s="3">
        <v>530</v>
      </c>
      <c r="B994">
        <f>DAY(F994)</f>
        <v>5</v>
      </c>
      <c r="C994" t="str">
        <f>TEXT(F994, "mmmm")</f>
        <v>February</v>
      </c>
      <c r="D994" s="3">
        <f>MONTH(F994)</f>
        <v>2</v>
      </c>
      <c r="E994" s="3">
        <f>YEAR(F994)</f>
        <v>2023</v>
      </c>
      <c r="F994" s="2">
        <v>44962</v>
      </c>
      <c r="G994" s="3" t="s">
        <v>1062</v>
      </c>
      <c r="H994" s="3" t="s">
        <v>198</v>
      </c>
      <c r="I994" s="3">
        <v>18</v>
      </c>
      <c r="J994" s="3"/>
      <c r="K994" s="3" t="s">
        <v>196</v>
      </c>
      <c r="L994" s="3">
        <v>4</v>
      </c>
      <c r="M994" s="4">
        <v>30</v>
      </c>
      <c r="N994">
        <f>L994 * M994</f>
        <v>120</v>
      </c>
      <c r="O994" s="15">
        <f>N994 *$R$3</f>
        <v>1.7999999999999998</v>
      </c>
    </row>
    <row r="995" spans="1:15" ht="15.75">
      <c r="A995" s="3">
        <v>538</v>
      </c>
      <c r="B995">
        <f>DAY(F995)</f>
        <v>17</v>
      </c>
      <c r="C995" t="str">
        <f>TEXT(F995, "mmmm")</f>
        <v>September</v>
      </c>
      <c r="D995" s="3">
        <f>MONTH(F995)</f>
        <v>9</v>
      </c>
      <c r="E995" s="3">
        <f>YEAR(F995)</f>
        <v>2023</v>
      </c>
      <c r="F995" s="2">
        <v>45186</v>
      </c>
      <c r="G995" s="3" t="s">
        <v>1063</v>
      </c>
      <c r="H995" s="3" t="s">
        <v>18</v>
      </c>
      <c r="I995" s="3">
        <v>18</v>
      </c>
      <c r="J995" s="3"/>
      <c r="K995" s="3" t="s">
        <v>195</v>
      </c>
      <c r="L995" s="3">
        <v>3</v>
      </c>
      <c r="M995" s="4">
        <v>50</v>
      </c>
      <c r="N995">
        <f>L995 * M995</f>
        <v>150</v>
      </c>
      <c r="O995" s="15">
        <f>N995 *$R$3</f>
        <v>2.25</v>
      </c>
    </row>
    <row r="996" spans="1:15" ht="15.75">
      <c r="A996" s="3">
        <v>556</v>
      </c>
      <c r="B996">
        <f>DAY(F996)</f>
        <v>4</v>
      </c>
      <c r="C996" t="str">
        <f>TEXT(F996, "mmmm")</f>
        <v>June</v>
      </c>
      <c r="D996" s="3">
        <f>MONTH(F996)</f>
        <v>6</v>
      </c>
      <c r="E996" s="3">
        <f>YEAR(F996)</f>
        <v>2023</v>
      </c>
      <c r="F996" s="2">
        <v>45081</v>
      </c>
      <c r="G996" s="3" t="s">
        <v>1064</v>
      </c>
      <c r="H996" s="3" t="s">
        <v>198</v>
      </c>
      <c r="I996" s="3">
        <v>18</v>
      </c>
      <c r="J996" s="3"/>
      <c r="K996" s="3" t="s">
        <v>196</v>
      </c>
      <c r="L996" s="3">
        <v>1</v>
      </c>
      <c r="M996" s="4">
        <v>50</v>
      </c>
      <c r="N996">
        <f>L996 * M996</f>
        <v>50</v>
      </c>
      <c r="O996" s="15">
        <f>N996 *$R$3</f>
        <v>0.75</v>
      </c>
    </row>
    <row r="997" spans="1:15" ht="15.75">
      <c r="A997" s="3">
        <v>595</v>
      </c>
      <c r="B997">
        <f>DAY(F997)</f>
        <v>9</v>
      </c>
      <c r="C997" t="str">
        <f>TEXT(F997, "mmmm")</f>
        <v>November</v>
      </c>
      <c r="D997" s="3">
        <f>MONTH(F997)</f>
        <v>11</v>
      </c>
      <c r="E997" s="3">
        <f>YEAR(F997)</f>
        <v>2023</v>
      </c>
      <c r="F997" s="2">
        <v>45239</v>
      </c>
      <c r="G997" s="3" t="s">
        <v>1065</v>
      </c>
      <c r="H997" s="3" t="s">
        <v>198</v>
      </c>
      <c r="I997" s="3">
        <v>18</v>
      </c>
      <c r="J997" s="3"/>
      <c r="K997" s="3" t="s">
        <v>195</v>
      </c>
      <c r="L997" s="3">
        <v>4</v>
      </c>
      <c r="M997" s="4">
        <v>500</v>
      </c>
      <c r="N997">
        <f>L997 * M997</f>
        <v>2000</v>
      </c>
      <c r="O997" s="15">
        <f>N997 *$R$3</f>
        <v>30</v>
      </c>
    </row>
    <row r="998" spans="1:15" ht="15.75">
      <c r="A998" s="3">
        <v>679</v>
      </c>
      <c r="B998">
        <f>DAY(F998)</f>
        <v>11</v>
      </c>
      <c r="C998" t="str">
        <f>TEXT(F998, "mmmm")</f>
        <v>January</v>
      </c>
      <c r="D998" s="3">
        <f>MONTH(F998)</f>
        <v>1</v>
      </c>
      <c r="E998" s="3">
        <f>YEAR(F998)</f>
        <v>2023</v>
      </c>
      <c r="F998" s="2">
        <v>44937</v>
      </c>
      <c r="G998" s="3" t="s">
        <v>1066</v>
      </c>
      <c r="H998" s="3" t="s">
        <v>198</v>
      </c>
      <c r="I998" s="3">
        <v>18</v>
      </c>
      <c r="J998" s="3"/>
      <c r="K998" s="3" t="s">
        <v>19</v>
      </c>
      <c r="L998" s="3">
        <v>3</v>
      </c>
      <c r="M998" s="4">
        <v>30</v>
      </c>
      <c r="N998">
        <f>L998 * M998</f>
        <v>90</v>
      </c>
      <c r="O998" s="15">
        <f>N998 *$R$3</f>
        <v>1.3499999999999999</v>
      </c>
    </row>
    <row r="999" spans="1:15" ht="15.75">
      <c r="A999" s="3">
        <v>714</v>
      </c>
      <c r="B999">
        <f>DAY(F999)</f>
        <v>12</v>
      </c>
      <c r="C999" t="str">
        <f>TEXT(F999, "mmmm")</f>
        <v>February</v>
      </c>
      <c r="D999" s="3">
        <f>MONTH(F999)</f>
        <v>2</v>
      </c>
      <c r="E999" s="3">
        <f>YEAR(F999)</f>
        <v>2023</v>
      </c>
      <c r="F999" s="2">
        <v>44969</v>
      </c>
      <c r="G999" s="3" t="s">
        <v>1067</v>
      </c>
      <c r="H999" s="3" t="s">
        <v>198</v>
      </c>
      <c r="I999" s="3">
        <v>18</v>
      </c>
      <c r="J999" s="3"/>
      <c r="K999" s="3" t="s">
        <v>195</v>
      </c>
      <c r="L999" s="3">
        <v>1</v>
      </c>
      <c r="M999" s="4">
        <v>500</v>
      </c>
      <c r="N999">
        <f>L999 * M999</f>
        <v>500</v>
      </c>
      <c r="O999" s="15">
        <f>N999 *$R$3</f>
        <v>7.5</v>
      </c>
    </row>
    <row r="1000" spans="1:15" ht="15.75">
      <c r="A1000" s="3">
        <v>837</v>
      </c>
      <c r="B1000">
        <f>DAY(F1000)</f>
        <v>1</v>
      </c>
      <c r="C1000" t="str">
        <f>TEXT(F1000, "mmmm")</f>
        <v>July</v>
      </c>
      <c r="D1000" s="3">
        <f>MONTH(F1000)</f>
        <v>7</v>
      </c>
      <c r="E1000" s="3">
        <f>YEAR(F1000)</f>
        <v>2023</v>
      </c>
      <c r="F1000" s="2">
        <v>45108</v>
      </c>
      <c r="G1000" s="3" t="s">
        <v>73</v>
      </c>
      <c r="H1000" s="3" t="s">
        <v>18</v>
      </c>
      <c r="I1000" s="3">
        <v>18</v>
      </c>
      <c r="J1000" s="3"/>
      <c r="K1000" s="3" t="s">
        <v>19</v>
      </c>
      <c r="L1000" s="3">
        <v>3</v>
      </c>
      <c r="M1000" s="4">
        <v>30</v>
      </c>
      <c r="N1000">
        <f>L1000 * M1000</f>
        <v>90</v>
      </c>
      <c r="O1000" s="15">
        <f>N1000 *$R$3</f>
        <v>1.3499999999999999</v>
      </c>
    </row>
    <row r="1001" spans="1:15" ht="15.75">
      <c r="A1001" s="6">
        <v>847</v>
      </c>
      <c r="B1001">
        <f>DAY(F1001)</f>
        <v>8</v>
      </c>
      <c r="C1001" t="str">
        <f>TEXT(F1001, "mmmm")</f>
        <v>April</v>
      </c>
      <c r="D1001" s="3">
        <f>MONTH(F1001)</f>
        <v>4</v>
      </c>
      <c r="E1001" s="3">
        <f>YEAR(F1001)</f>
        <v>2023</v>
      </c>
      <c r="F1001" s="5">
        <v>45024</v>
      </c>
      <c r="G1001" s="6" t="s">
        <v>1068</v>
      </c>
      <c r="H1001" s="6" t="s">
        <v>198</v>
      </c>
      <c r="I1001" s="6">
        <v>18</v>
      </c>
      <c r="J1001" s="6"/>
      <c r="K1001" s="6" t="s">
        <v>196</v>
      </c>
      <c r="L1001" s="6">
        <v>4</v>
      </c>
      <c r="M1001" s="7">
        <v>300</v>
      </c>
      <c r="N1001">
        <f>L1001 * M1001</f>
        <v>1200</v>
      </c>
      <c r="O1001" s="15">
        <f>N1001 *$R$3</f>
        <v>18</v>
      </c>
    </row>
  </sheetData>
  <sortState xmlns:xlrd2="http://schemas.microsoft.com/office/spreadsheetml/2017/richdata2" ref="Q9:U12">
    <sortCondition ref="R9:R12"/>
  </sortState>
  <conditionalFormatting sqref="R9:R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2"/>
  <sheetViews>
    <sheetView workbookViewId="0">
      <selection activeCell="C2" sqref="C2:C10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4">
      <c r="A1" s="1" t="s">
        <v>1</v>
      </c>
      <c r="B1" s="1" t="s">
        <v>1069</v>
      </c>
      <c r="C1" s="1" t="s">
        <v>1070</v>
      </c>
      <c r="D1" t="s">
        <v>1071</v>
      </c>
    </row>
    <row r="2" spans="1:4">
      <c r="A2">
        <v>10</v>
      </c>
      <c r="B2">
        <f>VLOOKUP(A2, retail_sales_dataset!A:O,13,FALSE)</f>
        <v>50</v>
      </c>
      <c r="C2">
        <f>VLOOKUP(A2, retail_sales_dataset!A:O,10,FALSE)</f>
        <v>0</v>
      </c>
      <c r="D2" t="str">
        <f t="shared" ref="D2:D10" si="0">CONCATENATE(B2, " ", C2)</f>
        <v>50 0</v>
      </c>
    </row>
    <row r="3" spans="1:4">
      <c r="A3">
        <v>15</v>
      </c>
      <c r="B3">
        <f>VLOOKUP(A3, retail_sales_dataset!A:O,13,FALSE)</f>
        <v>500</v>
      </c>
      <c r="C3">
        <f>VLOOKUP(A3, retail_sales_dataset!A:O,10,FALSE)</f>
        <v>0</v>
      </c>
      <c r="D3" t="str">
        <f t="shared" si="0"/>
        <v>500 0</v>
      </c>
    </row>
    <row r="4" spans="1:4">
      <c r="A4">
        <v>25</v>
      </c>
      <c r="B4">
        <f>VLOOKUP(A4, retail_sales_dataset!A:O,13,FALSE)</f>
        <v>50</v>
      </c>
      <c r="C4">
        <f>VLOOKUP(A4, retail_sales_dataset!A:O,10,FALSE)</f>
        <v>0</v>
      </c>
      <c r="D4" t="str">
        <f t="shared" si="0"/>
        <v>50 0</v>
      </c>
    </row>
    <row r="5" spans="1:4">
      <c r="A5">
        <v>30</v>
      </c>
      <c r="B5">
        <f>VLOOKUP(A5, retail_sales_dataset!A:O,13,FALSE)</f>
        <v>300</v>
      </c>
      <c r="C5">
        <f>VLOOKUP(A5, retail_sales_dataset!A:O,10,FALSE)</f>
        <v>0</v>
      </c>
      <c r="D5" t="str">
        <f t="shared" si="0"/>
        <v>300 0</v>
      </c>
    </row>
    <row r="6" spans="1:4">
      <c r="A6">
        <v>54</v>
      </c>
      <c r="B6">
        <f>VLOOKUP(A6, retail_sales_dataset!A:O,13,FALSE)</f>
        <v>500</v>
      </c>
      <c r="C6">
        <f>VLOOKUP(A6, retail_sales_dataset!A:O,10,FALSE)</f>
        <v>0</v>
      </c>
      <c r="D6" t="str">
        <f t="shared" si="0"/>
        <v>500 0</v>
      </c>
    </row>
    <row r="7" spans="1:4">
      <c r="A7">
        <v>55</v>
      </c>
      <c r="B7">
        <f>VLOOKUP(A7, retail_sales_dataset!A:O,13,FALSE)</f>
        <v>30</v>
      </c>
      <c r="C7">
        <f>VLOOKUP(A7, retail_sales_dataset!A:O,10,FALSE)</f>
        <v>0</v>
      </c>
      <c r="D7" t="str">
        <f t="shared" si="0"/>
        <v>30 0</v>
      </c>
    </row>
    <row r="8" spans="1:4">
      <c r="A8">
        <v>67</v>
      </c>
      <c r="B8">
        <f>VLOOKUP(A8, retail_sales_dataset!A:O,13,FALSE)</f>
        <v>300</v>
      </c>
      <c r="C8">
        <f>VLOOKUP(A8, retail_sales_dataset!A:O,10,FALSE)</f>
        <v>0</v>
      </c>
      <c r="D8" t="str">
        <f t="shared" si="0"/>
        <v>300 0</v>
      </c>
    </row>
    <row r="9" spans="1:4">
      <c r="A9">
        <v>89</v>
      </c>
      <c r="B9">
        <f>VLOOKUP(A9, retail_sales_dataset!A:O,13,FALSE)</f>
        <v>500</v>
      </c>
      <c r="C9">
        <f>VLOOKUP(A9, retail_sales_dataset!A:O,10,FALSE)</f>
        <v>0</v>
      </c>
      <c r="D9" t="str">
        <f t="shared" si="0"/>
        <v>500 0</v>
      </c>
    </row>
    <row r="10" spans="1:4">
      <c r="A10">
        <v>100</v>
      </c>
      <c r="B10">
        <f>VLOOKUP(A10, retail_sales_dataset!A:O,13,FALSE)</f>
        <v>30</v>
      </c>
      <c r="C10">
        <f>VLOOKUP(A10, retail_sales_dataset!A:O,10,FALSE)</f>
        <v>0</v>
      </c>
      <c r="D10" t="str">
        <f t="shared" si="0"/>
        <v>30 0</v>
      </c>
    </row>
    <row r="11" spans="1:4">
      <c r="A11">
        <f>COUNT(A2:A10)</f>
        <v>9</v>
      </c>
      <c r="B11">
        <f>COUNT(B2:B10)</f>
        <v>9</v>
      </c>
      <c r="C11">
        <f>COUNT(C2:C10)</f>
        <v>9</v>
      </c>
      <c r="D11">
        <f>COUNT(D2:D10)</f>
        <v>0</v>
      </c>
    </row>
    <row r="12" spans="1:4">
      <c r="A12">
        <f>COUNTA(A2:A10)</f>
        <v>9</v>
      </c>
      <c r="B12">
        <f>COUNTA(B2:B10)</f>
        <v>9</v>
      </c>
      <c r="C12">
        <f>COUNTA(C2:C10)</f>
        <v>9</v>
      </c>
      <c r="D12">
        <f>COUNTA(D2:D10)</f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E69F-1884-4124-9CBB-956D3D5F4DE1}">
  <dimension ref="A1:C13"/>
  <sheetViews>
    <sheetView workbookViewId="0"/>
  </sheetViews>
  <sheetFormatPr defaultRowHeight="15.75"/>
  <cols>
    <col min="1" max="1" width="16.625" customWidth="1"/>
    <col min="2" max="2" width="13.875" customWidth="1"/>
    <col min="3" max="3" width="19.125" customWidth="1"/>
  </cols>
  <sheetData>
    <row r="1" spans="1:3" ht="35.25">
      <c r="A1" s="20" t="s">
        <v>1072</v>
      </c>
      <c r="B1" s="21" t="s">
        <v>1073</v>
      </c>
      <c r="C1" s="22" t="s">
        <v>1074</v>
      </c>
    </row>
    <row r="2" spans="1:3" ht="17.25">
      <c r="A2" s="23" t="s">
        <v>1075</v>
      </c>
      <c r="B2" s="24" t="s">
        <v>1076</v>
      </c>
      <c r="C2" s="25" t="s">
        <v>1077</v>
      </c>
    </row>
    <row r="3" spans="1:3" ht="35.25">
      <c r="A3" s="23" t="s">
        <v>1075</v>
      </c>
      <c r="B3" s="24" t="s">
        <v>1078</v>
      </c>
      <c r="C3" s="25" t="s">
        <v>1079</v>
      </c>
    </row>
    <row r="4" spans="1:3" ht="17.25">
      <c r="A4" s="23" t="s">
        <v>1080</v>
      </c>
      <c r="B4" s="24" t="s">
        <v>1076</v>
      </c>
      <c r="C4" s="25" t="s">
        <v>1081</v>
      </c>
    </row>
    <row r="5" spans="1:3" ht="17.25">
      <c r="A5" s="23" t="s">
        <v>1080</v>
      </c>
      <c r="B5" s="24" t="s">
        <v>1082</v>
      </c>
      <c r="C5" s="25" t="s">
        <v>1083</v>
      </c>
    </row>
    <row r="6" spans="1:3" ht="35.25">
      <c r="A6" s="23" t="s">
        <v>1084</v>
      </c>
      <c r="B6" s="24" t="s">
        <v>1078</v>
      </c>
      <c r="C6" s="25" t="s">
        <v>1085</v>
      </c>
    </row>
    <row r="7" spans="1:3" ht="35.25">
      <c r="A7" s="23" t="s">
        <v>1084</v>
      </c>
      <c r="B7" s="24" t="s">
        <v>1076</v>
      </c>
      <c r="C7" s="25" t="s">
        <v>1086</v>
      </c>
    </row>
    <row r="8" spans="1:3" ht="17.25">
      <c r="A8" s="23" t="s">
        <v>1087</v>
      </c>
      <c r="B8" s="24" t="s">
        <v>1082</v>
      </c>
      <c r="C8" s="25" t="s">
        <v>1088</v>
      </c>
    </row>
    <row r="9" spans="1:3" ht="35.25">
      <c r="A9" s="23" t="s">
        <v>1087</v>
      </c>
      <c r="B9" s="24" t="s">
        <v>1078</v>
      </c>
      <c r="C9" s="25" t="s">
        <v>1089</v>
      </c>
    </row>
    <row r="10" spans="1:3" ht="17.25">
      <c r="A10" s="23" t="s">
        <v>1090</v>
      </c>
      <c r="B10" s="24" t="s">
        <v>1076</v>
      </c>
      <c r="C10" s="25" t="s">
        <v>1091</v>
      </c>
    </row>
    <row r="11" spans="1:3" ht="17.25">
      <c r="A11" s="23" t="s">
        <v>1090</v>
      </c>
      <c r="B11" s="24" t="s">
        <v>1082</v>
      </c>
      <c r="C11" s="25" t="s">
        <v>1089</v>
      </c>
    </row>
    <row r="12" spans="1:3" ht="52.5">
      <c r="A12" s="23" t="s">
        <v>1092</v>
      </c>
      <c r="B12" s="24" t="s">
        <v>1078</v>
      </c>
      <c r="C12" s="25" t="s">
        <v>1086</v>
      </c>
    </row>
    <row r="13" spans="1:3" ht="52.5">
      <c r="A13" s="26" t="s">
        <v>1092</v>
      </c>
      <c r="B13" s="27" t="s">
        <v>1076</v>
      </c>
      <c r="C13" s="28" t="s">
        <v>1083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61A4E9AE1EF9479E818CAFC018176B" ma:contentTypeVersion="4" ma:contentTypeDescription="Create a new document." ma:contentTypeScope="" ma:versionID="0bdc5154b051b98d8a92e3ae98b41468">
  <xsd:schema xmlns:xsd="http://www.w3.org/2001/XMLSchema" xmlns:xs="http://www.w3.org/2001/XMLSchema" xmlns:p="http://schemas.microsoft.com/office/2006/metadata/properties" xmlns:ns2="05c91717-c67a-43a5-b287-7cc250f4d02f" targetNamespace="http://schemas.microsoft.com/office/2006/metadata/properties" ma:root="true" ma:fieldsID="c592d3123ecbf0823d2e9f76a582feb6" ns2:_="">
    <xsd:import namespace="05c91717-c67a-43a5-b287-7cc250f4d0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91717-c67a-43a5-b287-7cc250f4d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Props1.xml><?xml version="1.0" encoding="utf-8"?>
<ds:datastoreItem xmlns:ds="http://schemas.openxmlformats.org/officeDocument/2006/customXml" ds:itemID="{E2D36A1E-236C-4E19-9955-D6B07E5D30B7}"/>
</file>

<file path=customXml/itemProps2.xml><?xml version="1.0" encoding="utf-8"?>
<ds:datastoreItem xmlns:ds="http://schemas.openxmlformats.org/officeDocument/2006/customXml" ds:itemID="{8B7F014E-65B1-48DD-A1AF-A79E02398FCF}"/>
</file>

<file path=customXml/itemProps3.xml><?xml version="1.0" encoding="utf-8"?>
<ds:datastoreItem xmlns:ds="http://schemas.openxmlformats.org/officeDocument/2006/customXml" ds:itemID="{82F3FFA2-A909-498D-9BC6-33DF5B99923B}"/>
</file>

<file path=customXml/itemProps4.xml><?xml version="1.0" encoding="utf-8"?>
<ds:datastoreItem xmlns:ds="http://schemas.openxmlformats.org/officeDocument/2006/customXml" ds:itemID="{6A238311-EE1E-4F00-870C-F1577541CA78}"/>
</file>

<file path=customXml/itemProps5.xml><?xml version="1.0" encoding="utf-8"?>
<ds:datastoreItem xmlns:ds="http://schemas.openxmlformats.org/officeDocument/2006/customXml" ds:itemID="{FE6DF61C-7ABD-44B9-B769-8F2899BB81F7}"/>
</file>

<file path=customXml/itemProps6.xml><?xml version="1.0" encoding="utf-8"?>
<ds:datastoreItem xmlns:ds="http://schemas.openxmlformats.org/officeDocument/2006/customXml" ds:itemID="{19C66761-A138-4D29-95EB-4CF018C84C81}"/>
</file>

<file path=customXml/itemProps7.xml><?xml version="1.0" encoding="utf-8"?>
<ds:datastoreItem xmlns:ds="http://schemas.openxmlformats.org/officeDocument/2006/customXml" ds:itemID="{06D295F5-8058-4546-A127-35DC9120150C}"/>
</file>

<file path=customXml/itemProps8.xml><?xml version="1.0" encoding="utf-8"?>
<ds:datastoreItem xmlns:ds="http://schemas.openxmlformats.org/officeDocument/2006/customXml" ds:itemID="{4B72CF21-7631-4768-8344-576F3A605CF5}"/>
</file>

<file path=customXml/itemProps9.xml><?xml version="1.0" encoding="utf-8"?>
<ds:datastoreItem xmlns:ds="http://schemas.openxmlformats.org/officeDocument/2006/customXml" ds:itemID="{B46F128A-B7FE-46C0-9B9B-600600B1B28E}"/>
</file>

<file path=customXml/itemProps10.xml><?xml version="1.0" encoding="utf-8"?>
<ds:datastoreItem xmlns:ds="http://schemas.openxmlformats.org/officeDocument/2006/customXml" ds:itemID="{15575EC4-E142-4B68-9BA1-7D9F83EA5067}"/>
</file>

<file path=customXml/itemProps11.xml><?xml version="1.0" encoding="utf-8"?>
<ds:datastoreItem xmlns:ds="http://schemas.openxmlformats.org/officeDocument/2006/customXml" ds:itemID="{3E8CB0BE-C4BA-4913-9C77-CD4B1441093A}"/>
</file>

<file path=customXml/itemProps12.xml><?xml version="1.0" encoding="utf-8"?>
<ds:datastoreItem xmlns:ds="http://schemas.openxmlformats.org/officeDocument/2006/customXml" ds:itemID="{B0863CD4-1E7A-4D88-A05C-62E37A52A464}"/>
</file>

<file path=customXml/itemProps13.xml><?xml version="1.0" encoding="utf-8"?>
<ds:datastoreItem xmlns:ds="http://schemas.openxmlformats.org/officeDocument/2006/customXml" ds:itemID="{E643224C-1CC4-4A7F-A567-22ECFBDF619E}"/>
</file>

<file path=customXml/itemProps14.xml><?xml version="1.0" encoding="utf-8"?>
<ds:datastoreItem xmlns:ds="http://schemas.openxmlformats.org/officeDocument/2006/customXml" ds:itemID="{DD9334D5-6C08-4A46-AD2C-FA9BF6D4670C}"/>
</file>

<file path=customXml/itemProps15.xml><?xml version="1.0" encoding="utf-8"?>
<ds:datastoreItem xmlns:ds="http://schemas.openxmlformats.org/officeDocument/2006/customXml" ds:itemID="{0ECF1352-6F0C-4E7B-8AFB-2EA761E69D98}"/>
</file>

<file path=customXml/itemProps16.xml><?xml version="1.0" encoding="utf-8"?>
<ds:datastoreItem xmlns:ds="http://schemas.openxmlformats.org/officeDocument/2006/customXml" ds:itemID="{6DA07CEC-807D-4764-A388-A6BBED7640E0}"/>
</file>

<file path=customXml/itemProps17.xml><?xml version="1.0" encoding="utf-8"?>
<ds:datastoreItem xmlns:ds="http://schemas.openxmlformats.org/officeDocument/2006/customXml" ds:itemID="{A4B88D49-EA58-47E5-AA07-36D60BC9149C}"/>
</file>

<file path=customXml/itemProps18.xml><?xml version="1.0" encoding="utf-8"?>
<ds:datastoreItem xmlns:ds="http://schemas.openxmlformats.org/officeDocument/2006/customXml" ds:itemID="{A85E162B-7A50-4957-AE78-A5F153441C86}"/>
</file>

<file path=customXml/itemProps19.xml><?xml version="1.0" encoding="utf-8"?>
<ds:datastoreItem xmlns:ds="http://schemas.openxmlformats.org/officeDocument/2006/customXml" ds:itemID="{09B95C5D-16BB-4BEF-B316-6D3A8C9DD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2025-02-17T12:21:13Z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0x010100F461A4E9AE1EF9479E818CAFC018176B</vt:lpwstr>
  </property>
</Properties>
</file>